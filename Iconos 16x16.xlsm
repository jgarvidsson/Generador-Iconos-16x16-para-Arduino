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ga_work\Dropbox\Personal - Documentos Comunes\Arduino\Herramientas\"/>
    </mc:Choice>
  </mc:AlternateContent>
  <xr:revisionPtr revIDLastSave="0" documentId="13_ncr:1_{B3669AE8-0C8D-4857-9A37-6B0A1A426063}" xr6:coauthVersionLast="46" xr6:coauthVersionMax="46" xr10:uidLastSave="{00000000-0000-0000-0000-000000000000}"/>
  <bookViews>
    <workbookView xWindow="120" yWindow="0" windowWidth="21555" windowHeight="13980" tabRatio="888" xr2:uid="{701CA93D-B211-4EE7-BC4D-5520B24D5B22}"/>
  </bookViews>
  <sheets>
    <sheet name="Presentación" sheetId="4" r:id="rId1"/>
    <sheet name="Generador Graficas 16x16 bin" sheetId="1" r:id="rId2"/>
    <sheet name="Decodificador Binario a Icono" sheetId="2" r:id="rId3"/>
    <sheet name="Lista de Iconos de Ejemplo" sheetId="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2" i="2" l="1"/>
  <c r="U22" i="2"/>
  <c r="V4" i="2" l="1"/>
  <c r="W4" i="3" l="1"/>
  <c r="U5" i="3" s="1"/>
  <c r="V4" i="3"/>
  <c r="I4" i="3" s="1"/>
  <c r="AG4" i="3" s="1"/>
  <c r="G2" i="2"/>
  <c r="C4" i="3" l="1"/>
  <c r="AA4" i="3" s="1"/>
  <c r="E4" i="3"/>
  <c r="AC4" i="3" s="1"/>
  <c r="D4" i="3"/>
  <c r="AB4" i="3" s="1"/>
  <c r="F4" i="3"/>
  <c r="AD4" i="3" s="1"/>
  <c r="H4" i="3"/>
  <c r="AF4" i="3" s="1"/>
  <c r="B4" i="3"/>
  <c r="Z4" i="3" s="1"/>
  <c r="G4" i="3"/>
  <c r="AE4" i="3" s="1"/>
  <c r="W5" i="3"/>
  <c r="V5" i="3"/>
  <c r="X4" i="3"/>
  <c r="W4" i="2"/>
  <c r="X4" i="2" s="1"/>
  <c r="X5" i="3" l="1"/>
  <c r="U6" i="3"/>
  <c r="H5" i="3"/>
  <c r="AF5" i="3" s="1"/>
  <c r="G5" i="3"/>
  <c r="AE5" i="3" s="1"/>
  <c r="F5" i="3"/>
  <c r="AD5" i="3" s="1"/>
  <c r="E5" i="3"/>
  <c r="AC5" i="3" s="1"/>
  <c r="D5" i="3"/>
  <c r="AB5" i="3" s="1"/>
  <c r="C5" i="3"/>
  <c r="AA5" i="3" s="1"/>
  <c r="B5" i="3"/>
  <c r="Z5" i="3" s="1"/>
  <c r="I5" i="3"/>
  <c r="AG5" i="3" s="1"/>
  <c r="P4" i="3"/>
  <c r="AN4" i="3" s="1"/>
  <c r="O4" i="3"/>
  <c r="AM4" i="3" s="1"/>
  <c r="N4" i="3"/>
  <c r="AL4" i="3" s="1"/>
  <c r="M4" i="3"/>
  <c r="AK4" i="3" s="1"/>
  <c r="L4" i="3"/>
  <c r="AJ4" i="3" s="1"/>
  <c r="K4" i="3"/>
  <c r="AI4" i="3" s="1"/>
  <c r="Q4" i="3"/>
  <c r="AO4" i="3" s="1"/>
  <c r="J4" i="3"/>
  <c r="AH4" i="3" s="1"/>
  <c r="Q4" i="2"/>
  <c r="AO4" i="2" s="1"/>
  <c r="P4" i="2"/>
  <c r="AN4" i="2" s="1"/>
  <c r="N4" i="2"/>
  <c r="AL4" i="2" s="1"/>
  <c r="J4" i="2"/>
  <c r="AH4" i="2" s="1"/>
  <c r="O4" i="2"/>
  <c r="AM4" i="2" s="1"/>
  <c r="M4" i="2"/>
  <c r="AK4" i="2" s="1"/>
  <c r="L4" i="2"/>
  <c r="AJ4" i="2" s="1"/>
  <c r="K4" i="2"/>
  <c r="AI4" i="2" s="1"/>
  <c r="H4" i="2"/>
  <c r="AF4" i="2" s="1"/>
  <c r="G4" i="2"/>
  <c r="AE4" i="2" s="1"/>
  <c r="F4" i="2"/>
  <c r="AD4" i="2" s="1"/>
  <c r="I4" i="2"/>
  <c r="AG4" i="2" s="1"/>
  <c r="E4" i="2"/>
  <c r="AC4" i="2" s="1"/>
  <c r="D4" i="2"/>
  <c r="AB4" i="2" s="1"/>
  <c r="C4" i="2"/>
  <c r="AA4" i="2" s="1"/>
  <c r="B4" i="2"/>
  <c r="Z4" i="2" s="1"/>
  <c r="U5" i="2"/>
  <c r="V5" i="2" s="1"/>
  <c r="P5" i="3" l="1"/>
  <c r="AN5" i="3" s="1"/>
  <c r="O5" i="3"/>
  <c r="AM5" i="3" s="1"/>
  <c r="N5" i="3"/>
  <c r="AL5" i="3" s="1"/>
  <c r="M5" i="3"/>
  <c r="AK5" i="3" s="1"/>
  <c r="L5" i="3"/>
  <c r="AJ5" i="3" s="1"/>
  <c r="K5" i="3"/>
  <c r="AI5" i="3" s="1"/>
  <c r="Q5" i="3"/>
  <c r="AO5" i="3" s="1"/>
  <c r="J5" i="3"/>
  <c r="AH5" i="3" s="1"/>
  <c r="W6" i="3"/>
  <c r="V6" i="3"/>
  <c r="B5" i="2"/>
  <c r="Z5" i="2" s="1"/>
  <c r="C5" i="2"/>
  <c r="AA5" i="2" s="1"/>
  <c r="D5" i="2"/>
  <c r="AB5" i="2" s="1"/>
  <c r="E5" i="2"/>
  <c r="AC5" i="2" s="1"/>
  <c r="F5" i="2"/>
  <c r="AD5" i="2" s="1"/>
  <c r="G5" i="2"/>
  <c r="AE5" i="2" s="1"/>
  <c r="H5" i="2"/>
  <c r="AF5" i="2" s="1"/>
  <c r="I5" i="2"/>
  <c r="AG5" i="2" s="1"/>
  <c r="W5" i="2"/>
  <c r="X5" i="2" s="1"/>
  <c r="U6" i="2" l="1"/>
  <c r="V6" i="2" s="1"/>
  <c r="U7" i="3"/>
  <c r="X6" i="3"/>
  <c r="H6" i="3"/>
  <c r="AF6" i="3" s="1"/>
  <c r="G6" i="3"/>
  <c r="AE6" i="3" s="1"/>
  <c r="I6" i="3"/>
  <c r="AG6" i="3" s="1"/>
  <c r="F6" i="3"/>
  <c r="AD6" i="3" s="1"/>
  <c r="E6" i="3"/>
  <c r="AC6" i="3" s="1"/>
  <c r="D6" i="3"/>
  <c r="AB6" i="3" s="1"/>
  <c r="C6" i="3"/>
  <c r="AA6" i="3" s="1"/>
  <c r="B6" i="3"/>
  <c r="Z6" i="3" s="1"/>
  <c r="W6" i="2" l="1"/>
  <c r="X6" i="2" s="1"/>
  <c r="P6" i="3"/>
  <c r="AN6" i="3" s="1"/>
  <c r="Q6" i="3"/>
  <c r="AO6" i="3" s="1"/>
  <c r="O6" i="3"/>
  <c r="AM6" i="3" s="1"/>
  <c r="N6" i="3"/>
  <c r="AL6" i="3" s="1"/>
  <c r="M6" i="3"/>
  <c r="AK6" i="3" s="1"/>
  <c r="L6" i="3"/>
  <c r="AJ6" i="3" s="1"/>
  <c r="K6" i="3"/>
  <c r="AI6" i="3" s="1"/>
  <c r="J6" i="3"/>
  <c r="AH6" i="3" s="1"/>
  <c r="W7" i="3"/>
  <c r="V7" i="3"/>
  <c r="B6" i="2"/>
  <c r="Z6" i="2" s="1"/>
  <c r="C6" i="2"/>
  <c r="AA6" i="2" s="1"/>
  <c r="D6" i="2"/>
  <c r="AB6" i="2" s="1"/>
  <c r="E6" i="2"/>
  <c r="AC6" i="2" s="1"/>
  <c r="F6" i="2"/>
  <c r="AD6" i="2" s="1"/>
  <c r="G6" i="2"/>
  <c r="AE6" i="2" s="1"/>
  <c r="H6" i="2"/>
  <c r="AF6" i="2" s="1"/>
  <c r="I6" i="2"/>
  <c r="AG6" i="2" s="1"/>
  <c r="J5" i="2"/>
  <c r="AH5" i="2" s="1"/>
  <c r="K5" i="2"/>
  <c r="AI5" i="2" s="1"/>
  <c r="L5" i="2"/>
  <c r="AJ5" i="2" s="1"/>
  <c r="M5" i="2"/>
  <c r="AK5" i="2" s="1"/>
  <c r="N5" i="2"/>
  <c r="AL5" i="2" s="1"/>
  <c r="O5" i="2"/>
  <c r="AM5" i="2" s="1"/>
  <c r="P5" i="2"/>
  <c r="AN5" i="2" s="1"/>
  <c r="Q5" i="2"/>
  <c r="AO5" i="2" s="1"/>
  <c r="U7" i="2" l="1"/>
  <c r="V7" i="2" s="1"/>
  <c r="X7" i="3"/>
  <c r="U8" i="3"/>
  <c r="H7" i="3"/>
  <c r="AF7" i="3" s="1"/>
  <c r="G7" i="3"/>
  <c r="AE7" i="3" s="1"/>
  <c r="F7" i="3"/>
  <c r="AD7" i="3" s="1"/>
  <c r="E7" i="3"/>
  <c r="AC7" i="3" s="1"/>
  <c r="I7" i="3"/>
  <c r="AG7" i="3" s="1"/>
  <c r="D7" i="3"/>
  <c r="AB7" i="3" s="1"/>
  <c r="C7" i="3"/>
  <c r="AA7" i="3" s="1"/>
  <c r="B7" i="3"/>
  <c r="Z7" i="3" s="1"/>
  <c r="J6" i="2"/>
  <c r="AH6" i="2" s="1"/>
  <c r="K6" i="2"/>
  <c r="AI6" i="2" s="1"/>
  <c r="L6" i="2"/>
  <c r="AJ6" i="2" s="1"/>
  <c r="M6" i="2"/>
  <c r="AK6" i="2" s="1"/>
  <c r="N6" i="2"/>
  <c r="AL6" i="2" s="1"/>
  <c r="O6" i="2"/>
  <c r="AM6" i="2" s="1"/>
  <c r="P6" i="2"/>
  <c r="AN6" i="2" s="1"/>
  <c r="Q6" i="2"/>
  <c r="AO6" i="2" s="1"/>
  <c r="W7" i="2" l="1"/>
  <c r="X7" i="2" s="1"/>
  <c r="W8" i="3"/>
  <c r="V8" i="3"/>
  <c r="P7" i="3"/>
  <c r="AN7" i="3" s="1"/>
  <c r="O7" i="3"/>
  <c r="AM7" i="3" s="1"/>
  <c r="N7" i="3"/>
  <c r="AL7" i="3" s="1"/>
  <c r="M7" i="3"/>
  <c r="AK7" i="3" s="1"/>
  <c r="L7" i="3"/>
  <c r="AJ7" i="3" s="1"/>
  <c r="Q7" i="3"/>
  <c r="AO7" i="3" s="1"/>
  <c r="K7" i="3"/>
  <c r="AI7" i="3" s="1"/>
  <c r="J7" i="3"/>
  <c r="AH7" i="3" s="1"/>
  <c r="B7" i="2"/>
  <c r="Z7" i="2" s="1"/>
  <c r="C7" i="2"/>
  <c r="AA7" i="2" s="1"/>
  <c r="D7" i="2"/>
  <c r="AB7" i="2" s="1"/>
  <c r="E7" i="2"/>
  <c r="AC7" i="2" s="1"/>
  <c r="F7" i="2"/>
  <c r="AD7" i="2" s="1"/>
  <c r="G7" i="2"/>
  <c r="AE7" i="2" s="1"/>
  <c r="H7" i="2"/>
  <c r="AF7" i="2" s="1"/>
  <c r="I7" i="2"/>
  <c r="AG7" i="2" s="1"/>
  <c r="U8" i="2" l="1"/>
  <c r="V8" i="2" s="1"/>
  <c r="H8" i="3"/>
  <c r="AF8" i="3" s="1"/>
  <c r="G8" i="3"/>
  <c r="AE8" i="3" s="1"/>
  <c r="F8" i="3"/>
  <c r="AD8" i="3" s="1"/>
  <c r="I8" i="3"/>
  <c r="AG8" i="3" s="1"/>
  <c r="E8" i="3"/>
  <c r="AC8" i="3" s="1"/>
  <c r="D8" i="3"/>
  <c r="AB8" i="3" s="1"/>
  <c r="C8" i="3"/>
  <c r="AA8" i="3" s="1"/>
  <c r="B8" i="3"/>
  <c r="Z8" i="3" s="1"/>
  <c r="U9" i="3"/>
  <c r="X8" i="3"/>
  <c r="J7" i="2"/>
  <c r="AH7" i="2" s="1"/>
  <c r="K7" i="2"/>
  <c r="AI7" i="2" s="1"/>
  <c r="L7" i="2"/>
  <c r="AJ7" i="2" s="1"/>
  <c r="M7" i="2"/>
  <c r="AK7" i="2" s="1"/>
  <c r="N7" i="2"/>
  <c r="AL7" i="2" s="1"/>
  <c r="O7" i="2"/>
  <c r="AM7" i="2" s="1"/>
  <c r="P7" i="2"/>
  <c r="AN7" i="2" s="1"/>
  <c r="Q7" i="2"/>
  <c r="AO7" i="2" s="1"/>
  <c r="W8" i="2" l="1"/>
  <c r="X8" i="2" s="1"/>
  <c r="P8" i="3"/>
  <c r="AN8" i="3" s="1"/>
  <c r="O8" i="3"/>
  <c r="AM8" i="3" s="1"/>
  <c r="N8" i="3"/>
  <c r="AL8" i="3" s="1"/>
  <c r="M8" i="3"/>
  <c r="AK8" i="3" s="1"/>
  <c r="L8" i="3"/>
  <c r="AJ8" i="3" s="1"/>
  <c r="K8" i="3"/>
  <c r="AI8" i="3" s="1"/>
  <c r="J8" i="3"/>
  <c r="AH8" i="3" s="1"/>
  <c r="Q8" i="3"/>
  <c r="AO8" i="3" s="1"/>
  <c r="W9" i="3"/>
  <c r="V9" i="3"/>
  <c r="B8" i="2"/>
  <c r="Z8" i="2" s="1"/>
  <c r="C8" i="2"/>
  <c r="AA8" i="2" s="1"/>
  <c r="D8" i="2"/>
  <c r="AB8" i="2" s="1"/>
  <c r="E8" i="2"/>
  <c r="AC8" i="2" s="1"/>
  <c r="F8" i="2"/>
  <c r="AD8" i="2" s="1"/>
  <c r="G8" i="2"/>
  <c r="AE8" i="2" s="1"/>
  <c r="H8" i="2"/>
  <c r="AF8" i="2" s="1"/>
  <c r="I8" i="2"/>
  <c r="AG8" i="2" s="1"/>
  <c r="U9" i="2" l="1"/>
  <c r="V9" i="2" s="1"/>
  <c r="H9" i="3"/>
  <c r="AF9" i="3" s="1"/>
  <c r="G9" i="3"/>
  <c r="AE9" i="3" s="1"/>
  <c r="F9" i="3"/>
  <c r="AD9" i="3" s="1"/>
  <c r="E9" i="3"/>
  <c r="AC9" i="3" s="1"/>
  <c r="D9" i="3"/>
  <c r="AB9" i="3" s="1"/>
  <c r="C9" i="3"/>
  <c r="AA9" i="3" s="1"/>
  <c r="I9" i="3"/>
  <c r="AG9" i="3" s="1"/>
  <c r="B9" i="3"/>
  <c r="Z9" i="3" s="1"/>
  <c r="X9" i="3"/>
  <c r="U10" i="3"/>
  <c r="J8" i="2"/>
  <c r="AH8" i="2" s="1"/>
  <c r="K8" i="2"/>
  <c r="AI8" i="2" s="1"/>
  <c r="L8" i="2"/>
  <c r="AJ8" i="2" s="1"/>
  <c r="M8" i="2"/>
  <c r="AK8" i="2" s="1"/>
  <c r="N8" i="2"/>
  <c r="AL8" i="2" s="1"/>
  <c r="O8" i="2"/>
  <c r="AM8" i="2" s="1"/>
  <c r="P8" i="2"/>
  <c r="AN8" i="2" s="1"/>
  <c r="Q8" i="2"/>
  <c r="AO8" i="2" s="1"/>
  <c r="W9" i="2" l="1"/>
  <c r="X9" i="2" s="1"/>
  <c r="P9" i="3"/>
  <c r="AN9" i="3" s="1"/>
  <c r="O9" i="3"/>
  <c r="AM9" i="3" s="1"/>
  <c r="N9" i="3"/>
  <c r="AL9" i="3" s="1"/>
  <c r="M9" i="3"/>
  <c r="AK9" i="3" s="1"/>
  <c r="L9" i="3"/>
  <c r="AJ9" i="3" s="1"/>
  <c r="K9" i="3"/>
  <c r="AI9" i="3" s="1"/>
  <c r="J9" i="3"/>
  <c r="AH9" i="3" s="1"/>
  <c r="Q9" i="3"/>
  <c r="AO9" i="3" s="1"/>
  <c r="W10" i="3"/>
  <c r="V10" i="3"/>
  <c r="B9" i="2"/>
  <c r="Z9" i="2" s="1"/>
  <c r="C9" i="2"/>
  <c r="AA9" i="2" s="1"/>
  <c r="D9" i="2"/>
  <c r="AB9" i="2" s="1"/>
  <c r="E9" i="2"/>
  <c r="AC9" i="2" s="1"/>
  <c r="F9" i="2"/>
  <c r="AD9" i="2" s="1"/>
  <c r="G9" i="2"/>
  <c r="AE9" i="2" s="1"/>
  <c r="H9" i="2"/>
  <c r="AF9" i="2" s="1"/>
  <c r="I9" i="2"/>
  <c r="AG9" i="2" s="1"/>
  <c r="U10" i="2" l="1"/>
  <c r="V10" i="2" s="1"/>
  <c r="U11" i="3"/>
  <c r="X10" i="3"/>
  <c r="H10" i="3"/>
  <c r="AF10" i="3" s="1"/>
  <c r="G10" i="3"/>
  <c r="AE10" i="3" s="1"/>
  <c r="F10" i="3"/>
  <c r="AD10" i="3" s="1"/>
  <c r="E10" i="3"/>
  <c r="AC10" i="3" s="1"/>
  <c r="D10" i="3"/>
  <c r="AB10" i="3" s="1"/>
  <c r="C10" i="3"/>
  <c r="AA10" i="3" s="1"/>
  <c r="I10" i="3"/>
  <c r="AG10" i="3" s="1"/>
  <c r="B10" i="3"/>
  <c r="Z10" i="3" s="1"/>
  <c r="J9" i="2"/>
  <c r="AH9" i="2" s="1"/>
  <c r="K9" i="2"/>
  <c r="AI9" i="2" s="1"/>
  <c r="L9" i="2"/>
  <c r="AJ9" i="2" s="1"/>
  <c r="M9" i="2"/>
  <c r="AK9" i="2" s="1"/>
  <c r="N9" i="2"/>
  <c r="AL9" i="2" s="1"/>
  <c r="O9" i="2"/>
  <c r="AM9" i="2" s="1"/>
  <c r="P9" i="2"/>
  <c r="AN9" i="2" s="1"/>
  <c r="Q9" i="2"/>
  <c r="AO9" i="2" s="1"/>
  <c r="W10" i="2" l="1"/>
  <c r="X10" i="2" s="1"/>
  <c r="P10" i="3"/>
  <c r="AN10" i="3" s="1"/>
  <c r="O10" i="3"/>
  <c r="AM10" i="3" s="1"/>
  <c r="N10" i="3"/>
  <c r="AL10" i="3" s="1"/>
  <c r="M10" i="3"/>
  <c r="AK10" i="3" s="1"/>
  <c r="L10" i="3"/>
  <c r="AJ10" i="3" s="1"/>
  <c r="K10" i="3"/>
  <c r="AI10" i="3" s="1"/>
  <c r="J10" i="3"/>
  <c r="AH10" i="3" s="1"/>
  <c r="Q10" i="3"/>
  <c r="AO10" i="3" s="1"/>
  <c r="W11" i="3"/>
  <c r="V11" i="3"/>
  <c r="B10" i="2"/>
  <c r="Z10" i="2" s="1"/>
  <c r="C10" i="2"/>
  <c r="AA10" i="2" s="1"/>
  <c r="D10" i="2"/>
  <c r="AB10" i="2" s="1"/>
  <c r="E10" i="2"/>
  <c r="AC10" i="2" s="1"/>
  <c r="F10" i="2"/>
  <c r="AD10" i="2" s="1"/>
  <c r="G10" i="2"/>
  <c r="AE10" i="2" s="1"/>
  <c r="H10" i="2"/>
  <c r="AF10" i="2" s="1"/>
  <c r="I10" i="2"/>
  <c r="AG10" i="2" s="1"/>
  <c r="U11" i="2" l="1"/>
  <c r="V11" i="2" s="1"/>
  <c r="H11" i="3"/>
  <c r="AF11" i="3" s="1"/>
  <c r="G11" i="3"/>
  <c r="AE11" i="3" s="1"/>
  <c r="F11" i="3"/>
  <c r="AD11" i="3" s="1"/>
  <c r="E11" i="3"/>
  <c r="AC11" i="3" s="1"/>
  <c r="D11" i="3"/>
  <c r="AB11" i="3" s="1"/>
  <c r="C11" i="3"/>
  <c r="AA11" i="3" s="1"/>
  <c r="I11" i="3"/>
  <c r="AG11" i="3" s="1"/>
  <c r="B11" i="3"/>
  <c r="Z11" i="3" s="1"/>
  <c r="X11" i="3"/>
  <c r="U12" i="3"/>
  <c r="J10" i="2"/>
  <c r="AH10" i="2" s="1"/>
  <c r="K10" i="2"/>
  <c r="AI10" i="2" s="1"/>
  <c r="L10" i="2"/>
  <c r="AJ10" i="2" s="1"/>
  <c r="M10" i="2"/>
  <c r="AK10" i="2" s="1"/>
  <c r="N10" i="2"/>
  <c r="AL10" i="2" s="1"/>
  <c r="O10" i="2"/>
  <c r="AM10" i="2" s="1"/>
  <c r="P10" i="2"/>
  <c r="AN10" i="2" s="1"/>
  <c r="Q10" i="2"/>
  <c r="AO10" i="2" s="1"/>
  <c r="W11" i="2" l="1"/>
  <c r="X11" i="2" s="1"/>
  <c r="W12" i="3"/>
  <c r="V12" i="3"/>
  <c r="P11" i="3"/>
  <c r="AN11" i="3" s="1"/>
  <c r="O11" i="3"/>
  <c r="AM11" i="3" s="1"/>
  <c r="N11" i="3"/>
  <c r="AL11" i="3" s="1"/>
  <c r="M11" i="3"/>
  <c r="AK11" i="3" s="1"/>
  <c r="L11" i="3"/>
  <c r="AJ11" i="3" s="1"/>
  <c r="K11" i="3"/>
  <c r="AI11" i="3" s="1"/>
  <c r="J11" i="3"/>
  <c r="AH11" i="3" s="1"/>
  <c r="Q11" i="3"/>
  <c r="AO11" i="3" s="1"/>
  <c r="B11" i="2"/>
  <c r="Z11" i="2" s="1"/>
  <c r="C11" i="2"/>
  <c r="AA11" i="2" s="1"/>
  <c r="D11" i="2"/>
  <c r="AB11" i="2" s="1"/>
  <c r="E11" i="2"/>
  <c r="AC11" i="2" s="1"/>
  <c r="F11" i="2"/>
  <c r="AD11" i="2" s="1"/>
  <c r="G11" i="2"/>
  <c r="AE11" i="2" s="1"/>
  <c r="H11" i="2"/>
  <c r="AF11" i="2" s="1"/>
  <c r="I11" i="2"/>
  <c r="AG11" i="2" s="1"/>
  <c r="U12" i="2" l="1"/>
  <c r="V12" i="2" s="1"/>
  <c r="U13" i="3"/>
  <c r="X12" i="3"/>
  <c r="H12" i="3"/>
  <c r="AF12" i="3" s="1"/>
  <c r="G12" i="3"/>
  <c r="AE12" i="3" s="1"/>
  <c r="F12" i="3"/>
  <c r="AD12" i="3" s="1"/>
  <c r="E12" i="3"/>
  <c r="AC12" i="3" s="1"/>
  <c r="D12" i="3"/>
  <c r="AB12" i="3" s="1"/>
  <c r="C12" i="3"/>
  <c r="AA12" i="3" s="1"/>
  <c r="I12" i="3"/>
  <c r="AG12" i="3" s="1"/>
  <c r="B12" i="3"/>
  <c r="Z12" i="3" s="1"/>
  <c r="J11" i="2"/>
  <c r="AH11" i="2" s="1"/>
  <c r="K11" i="2"/>
  <c r="AI11" i="2" s="1"/>
  <c r="L11" i="2"/>
  <c r="AJ11" i="2" s="1"/>
  <c r="M11" i="2"/>
  <c r="AK11" i="2" s="1"/>
  <c r="N11" i="2"/>
  <c r="AL11" i="2" s="1"/>
  <c r="O11" i="2"/>
  <c r="AM11" i="2" s="1"/>
  <c r="P11" i="2"/>
  <c r="AN11" i="2" s="1"/>
  <c r="Q11" i="2"/>
  <c r="AO11" i="2" s="1"/>
  <c r="W12" i="2" l="1"/>
  <c r="X12" i="2" s="1"/>
  <c r="P12" i="3"/>
  <c r="AN12" i="3" s="1"/>
  <c r="O12" i="3"/>
  <c r="AM12" i="3" s="1"/>
  <c r="N12" i="3"/>
  <c r="AL12" i="3" s="1"/>
  <c r="M12" i="3"/>
  <c r="AK12" i="3" s="1"/>
  <c r="L12" i="3"/>
  <c r="AJ12" i="3" s="1"/>
  <c r="K12" i="3"/>
  <c r="AI12" i="3" s="1"/>
  <c r="J12" i="3"/>
  <c r="AH12" i="3" s="1"/>
  <c r="Q12" i="3"/>
  <c r="AO12" i="3" s="1"/>
  <c r="W13" i="3"/>
  <c r="V13" i="3"/>
  <c r="B12" i="2"/>
  <c r="Z12" i="2" s="1"/>
  <c r="C12" i="2"/>
  <c r="AA12" i="2" s="1"/>
  <c r="D12" i="2"/>
  <c r="AB12" i="2" s="1"/>
  <c r="E12" i="2"/>
  <c r="AC12" i="2" s="1"/>
  <c r="F12" i="2"/>
  <c r="AD12" i="2" s="1"/>
  <c r="G12" i="2"/>
  <c r="AE12" i="2" s="1"/>
  <c r="H12" i="2"/>
  <c r="AF12" i="2" s="1"/>
  <c r="I12" i="2"/>
  <c r="AG12" i="2" s="1"/>
  <c r="U13" i="2" l="1"/>
  <c r="V13" i="2" s="1"/>
  <c r="X13" i="3"/>
  <c r="U14" i="3"/>
  <c r="H13" i="3"/>
  <c r="AF13" i="3" s="1"/>
  <c r="G13" i="3"/>
  <c r="AE13" i="3" s="1"/>
  <c r="F13" i="3"/>
  <c r="AD13" i="3" s="1"/>
  <c r="E13" i="3"/>
  <c r="AC13" i="3" s="1"/>
  <c r="D13" i="3"/>
  <c r="AB13" i="3" s="1"/>
  <c r="C13" i="3"/>
  <c r="AA13" i="3" s="1"/>
  <c r="I13" i="3"/>
  <c r="AG13" i="3" s="1"/>
  <c r="B13" i="3"/>
  <c r="Z13" i="3" s="1"/>
  <c r="J12" i="2"/>
  <c r="AH12" i="2" s="1"/>
  <c r="K12" i="2"/>
  <c r="AI12" i="2" s="1"/>
  <c r="L12" i="2"/>
  <c r="AJ12" i="2" s="1"/>
  <c r="M12" i="2"/>
  <c r="AK12" i="2" s="1"/>
  <c r="N12" i="2"/>
  <c r="AL12" i="2" s="1"/>
  <c r="O12" i="2"/>
  <c r="AM12" i="2" s="1"/>
  <c r="P12" i="2"/>
  <c r="AN12" i="2" s="1"/>
  <c r="Q12" i="2"/>
  <c r="AO12" i="2" s="1"/>
  <c r="W13" i="2" l="1"/>
  <c r="X13" i="2" s="1"/>
  <c r="W14" i="3"/>
  <c r="V14" i="3"/>
  <c r="P13" i="3"/>
  <c r="AN13" i="3" s="1"/>
  <c r="O13" i="3"/>
  <c r="AM13" i="3" s="1"/>
  <c r="N13" i="3"/>
  <c r="AL13" i="3" s="1"/>
  <c r="M13" i="3"/>
  <c r="AK13" i="3" s="1"/>
  <c r="L13" i="3"/>
  <c r="AJ13" i="3" s="1"/>
  <c r="K13" i="3"/>
  <c r="AI13" i="3" s="1"/>
  <c r="J13" i="3"/>
  <c r="AH13" i="3" s="1"/>
  <c r="Q13" i="3"/>
  <c r="AO13" i="3" s="1"/>
  <c r="B13" i="2"/>
  <c r="Z13" i="2" s="1"/>
  <c r="C13" i="2"/>
  <c r="AA13" i="2" s="1"/>
  <c r="D13" i="2"/>
  <c r="AB13" i="2" s="1"/>
  <c r="E13" i="2"/>
  <c r="AC13" i="2" s="1"/>
  <c r="F13" i="2"/>
  <c r="AD13" i="2" s="1"/>
  <c r="G13" i="2"/>
  <c r="AE13" i="2" s="1"/>
  <c r="H13" i="2"/>
  <c r="AF13" i="2" s="1"/>
  <c r="I13" i="2"/>
  <c r="AG13" i="2" s="1"/>
  <c r="U14" i="2" l="1"/>
  <c r="V14" i="2" s="1"/>
  <c r="U15" i="3"/>
  <c r="X14" i="3"/>
  <c r="H14" i="3"/>
  <c r="AF14" i="3" s="1"/>
  <c r="G14" i="3"/>
  <c r="AE14" i="3" s="1"/>
  <c r="F14" i="3"/>
  <c r="AD14" i="3" s="1"/>
  <c r="E14" i="3"/>
  <c r="AC14" i="3" s="1"/>
  <c r="D14" i="3"/>
  <c r="AB14" i="3" s="1"/>
  <c r="C14" i="3"/>
  <c r="AA14" i="3" s="1"/>
  <c r="I14" i="3"/>
  <c r="AG14" i="3" s="1"/>
  <c r="B14" i="3"/>
  <c r="Z14" i="3" s="1"/>
  <c r="J13" i="2"/>
  <c r="AH13" i="2" s="1"/>
  <c r="K13" i="2"/>
  <c r="AI13" i="2" s="1"/>
  <c r="L13" i="2"/>
  <c r="AJ13" i="2" s="1"/>
  <c r="M13" i="2"/>
  <c r="AK13" i="2" s="1"/>
  <c r="N13" i="2"/>
  <c r="AL13" i="2" s="1"/>
  <c r="O13" i="2"/>
  <c r="AM13" i="2" s="1"/>
  <c r="P13" i="2"/>
  <c r="AN13" i="2" s="1"/>
  <c r="Q13" i="2"/>
  <c r="AO13" i="2" s="1"/>
  <c r="W14" i="2" l="1"/>
  <c r="X14" i="2" s="1"/>
  <c r="W15" i="3"/>
  <c r="V15" i="3"/>
  <c r="P14" i="3"/>
  <c r="AN14" i="3" s="1"/>
  <c r="O14" i="3"/>
  <c r="AM14" i="3" s="1"/>
  <c r="N14" i="3"/>
  <c r="AL14" i="3" s="1"/>
  <c r="M14" i="3"/>
  <c r="AK14" i="3" s="1"/>
  <c r="L14" i="3"/>
  <c r="AJ14" i="3" s="1"/>
  <c r="K14" i="3"/>
  <c r="AI14" i="3" s="1"/>
  <c r="J14" i="3"/>
  <c r="AH14" i="3" s="1"/>
  <c r="Q14" i="3"/>
  <c r="AO14" i="3" s="1"/>
  <c r="B14" i="2"/>
  <c r="Z14" i="2" s="1"/>
  <c r="C14" i="2"/>
  <c r="AA14" i="2" s="1"/>
  <c r="D14" i="2"/>
  <c r="AB14" i="2" s="1"/>
  <c r="E14" i="2"/>
  <c r="AC14" i="2" s="1"/>
  <c r="F14" i="2"/>
  <c r="AD14" i="2" s="1"/>
  <c r="G14" i="2"/>
  <c r="AE14" i="2" s="1"/>
  <c r="H14" i="2"/>
  <c r="AF14" i="2" s="1"/>
  <c r="I14" i="2"/>
  <c r="AG14" i="2" s="1"/>
  <c r="U15" i="2" l="1"/>
  <c r="V15" i="2" s="1"/>
  <c r="H15" i="3"/>
  <c r="AF15" i="3" s="1"/>
  <c r="G15" i="3"/>
  <c r="AE15" i="3" s="1"/>
  <c r="F15" i="3"/>
  <c r="AD15" i="3" s="1"/>
  <c r="E15" i="3"/>
  <c r="AC15" i="3" s="1"/>
  <c r="D15" i="3"/>
  <c r="AB15" i="3" s="1"/>
  <c r="C15" i="3"/>
  <c r="AA15" i="3" s="1"/>
  <c r="I15" i="3"/>
  <c r="AG15" i="3" s="1"/>
  <c r="B15" i="3"/>
  <c r="Z15" i="3" s="1"/>
  <c r="X15" i="3"/>
  <c r="U16" i="3"/>
  <c r="J14" i="2"/>
  <c r="AH14" i="2" s="1"/>
  <c r="K14" i="2"/>
  <c r="AI14" i="2" s="1"/>
  <c r="L14" i="2"/>
  <c r="AJ14" i="2" s="1"/>
  <c r="M14" i="2"/>
  <c r="AK14" i="2" s="1"/>
  <c r="N14" i="2"/>
  <c r="AL14" i="2" s="1"/>
  <c r="O14" i="2"/>
  <c r="AM14" i="2" s="1"/>
  <c r="P14" i="2"/>
  <c r="AN14" i="2" s="1"/>
  <c r="Q14" i="2"/>
  <c r="AO14" i="2" s="1"/>
  <c r="W15" i="2" l="1"/>
  <c r="X15" i="2" s="1"/>
  <c r="W16" i="3"/>
  <c r="V16" i="3"/>
  <c r="P15" i="3"/>
  <c r="AN15" i="3" s="1"/>
  <c r="O15" i="3"/>
  <c r="AM15" i="3" s="1"/>
  <c r="N15" i="3"/>
  <c r="AL15" i="3" s="1"/>
  <c r="M15" i="3"/>
  <c r="AK15" i="3" s="1"/>
  <c r="L15" i="3"/>
  <c r="AJ15" i="3" s="1"/>
  <c r="K15" i="3"/>
  <c r="AI15" i="3" s="1"/>
  <c r="J15" i="3"/>
  <c r="AH15" i="3" s="1"/>
  <c r="Q15" i="3"/>
  <c r="AO15" i="3" s="1"/>
  <c r="B15" i="2"/>
  <c r="Z15" i="2" s="1"/>
  <c r="C15" i="2"/>
  <c r="AA15" i="2" s="1"/>
  <c r="D15" i="2"/>
  <c r="AB15" i="2" s="1"/>
  <c r="E15" i="2"/>
  <c r="AC15" i="2" s="1"/>
  <c r="F15" i="2"/>
  <c r="AD15" i="2" s="1"/>
  <c r="G15" i="2"/>
  <c r="AE15" i="2" s="1"/>
  <c r="H15" i="2"/>
  <c r="AF15" i="2" s="1"/>
  <c r="I15" i="2"/>
  <c r="AG15" i="2" s="1"/>
  <c r="U16" i="2" l="1"/>
  <c r="V16" i="2" s="1"/>
  <c r="U17" i="3"/>
  <c r="X16" i="3"/>
  <c r="H16" i="3"/>
  <c r="AF16" i="3" s="1"/>
  <c r="G16" i="3"/>
  <c r="AE16" i="3" s="1"/>
  <c r="F16" i="3"/>
  <c r="AD16" i="3" s="1"/>
  <c r="E16" i="3"/>
  <c r="AC16" i="3" s="1"/>
  <c r="D16" i="3"/>
  <c r="AB16" i="3" s="1"/>
  <c r="C16" i="3"/>
  <c r="AA16" i="3" s="1"/>
  <c r="I16" i="3"/>
  <c r="AG16" i="3" s="1"/>
  <c r="B16" i="3"/>
  <c r="Z16" i="3" s="1"/>
  <c r="J15" i="2"/>
  <c r="AH15" i="2" s="1"/>
  <c r="K15" i="2"/>
  <c r="AI15" i="2" s="1"/>
  <c r="L15" i="2"/>
  <c r="AJ15" i="2" s="1"/>
  <c r="M15" i="2"/>
  <c r="AK15" i="2" s="1"/>
  <c r="N15" i="2"/>
  <c r="AL15" i="2" s="1"/>
  <c r="O15" i="2"/>
  <c r="AM15" i="2" s="1"/>
  <c r="P15" i="2"/>
  <c r="AN15" i="2" s="1"/>
  <c r="Q15" i="2"/>
  <c r="AO15" i="2" s="1"/>
  <c r="W16" i="2" l="1"/>
  <c r="X16" i="2" s="1"/>
  <c r="W17" i="3"/>
  <c r="V17" i="3"/>
  <c r="P16" i="3"/>
  <c r="AN16" i="3" s="1"/>
  <c r="O16" i="3"/>
  <c r="AM16" i="3" s="1"/>
  <c r="N16" i="3"/>
  <c r="AL16" i="3" s="1"/>
  <c r="M16" i="3"/>
  <c r="AK16" i="3" s="1"/>
  <c r="L16" i="3"/>
  <c r="AJ16" i="3" s="1"/>
  <c r="K16" i="3"/>
  <c r="AI16" i="3" s="1"/>
  <c r="J16" i="3"/>
  <c r="AH16" i="3" s="1"/>
  <c r="Q16" i="3"/>
  <c r="AO16" i="3" s="1"/>
  <c r="B16" i="2"/>
  <c r="Z16" i="2" s="1"/>
  <c r="C16" i="2"/>
  <c r="AA16" i="2" s="1"/>
  <c r="D16" i="2"/>
  <c r="AB16" i="2" s="1"/>
  <c r="E16" i="2"/>
  <c r="AC16" i="2" s="1"/>
  <c r="F16" i="2"/>
  <c r="AD16" i="2" s="1"/>
  <c r="G16" i="2"/>
  <c r="AE16" i="2" s="1"/>
  <c r="H16" i="2"/>
  <c r="AF16" i="2" s="1"/>
  <c r="I16" i="2"/>
  <c r="AG16" i="2" s="1"/>
  <c r="U17" i="2" l="1"/>
  <c r="V17" i="2" s="1"/>
  <c r="X17" i="3"/>
  <c r="U18" i="3"/>
  <c r="H17" i="3"/>
  <c r="AF17" i="3" s="1"/>
  <c r="G17" i="3"/>
  <c r="AE17" i="3" s="1"/>
  <c r="F17" i="3"/>
  <c r="AD17" i="3" s="1"/>
  <c r="E17" i="3"/>
  <c r="AC17" i="3" s="1"/>
  <c r="D17" i="3"/>
  <c r="AB17" i="3" s="1"/>
  <c r="C17" i="3"/>
  <c r="AA17" i="3" s="1"/>
  <c r="I17" i="3"/>
  <c r="AG17" i="3" s="1"/>
  <c r="B17" i="3"/>
  <c r="Z17" i="3" s="1"/>
  <c r="J16" i="2"/>
  <c r="AH16" i="2" s="1"/>
  <c r="K16" i="2"/>
  <c r="AI16" i="2" s="1"/>
  <c r="L16" i="2"/>
  <c r="AJ16" i="2" s="1"/>
  <c r="M16" i="2"/>
  <c r="AK16" i="2" s="1"/>
  <c r="N16" i="2"/>
  <c r="AL16" i="2" s="1"/>
  <c r="O16" i="2"/>
  <c r="AM16" i="2" s="1"/>
  <c r="P16" i="2"/>
  <c r="AN16" i="2" s="1"/>
  <c r="Q16" i="2"/>
  <c r="AO16" i="2" s="1"/>
  <c r="W17" i="2" l="1"/>
  <c r="X17" i="2" s="1"/>
  <c r="W18" i="3"/>
  <c r="V18" i="3"/>
  <c r="P17" i="3"/>
  <c r="AN17" i="3" s="1"/>
  <c r="O17" i="3"/>
  <c r="AM17" i="3" s="1"/>
  <c r="N17" i="3"/>
  <c r="AL17" i="3" s="1"/>
  <c r="M17" i="3"/>
  <c r="AK17" i="3" s="1"/>
  <c r="L17" i="3"/>
  <c r="AJ17" i="3" s="1"/>
  <c r="K17" i="3"/>
  <c r="AI17" i="3" s="1"/>
  <c r="J17" i="3"/>
  <c r="AH17" i="3" s="1"/>
  <c r="Q17" i="3"/>
  <c r="AO17" i="3" s="1"/>
  <c r="B17" i="2"/>
  <c r="Z17" i="2" s="1"/>
  <c r="C17" i="2"/>
  <c r="AA17" i="2" s="1"/>
  <c r="D17" i="2"/>
  <c r="AB17" i="2" s="1"/>
  <c r="E17" i="2"/>
  <c r="AC17" i="2" s="1"/>
  <c r="F17" i="2"/>
  <c r="AD17" i="2" s="1"/>
  <c r="G17" i="2"/>
  <c r="AE17" i="2" s="1"/>
  <c r="H17" i="2"/>
  <c r="AF17" i="2" s="1"/>
  <c r="I17" i="2"/>
  <c r="AG17" i="2" s="1"/>
  <c r="U18" i="2" l="1"/>
  <c r="V18" i="2" s="1"/>
  <c r="H18" i="3"/>
  <c r="AF18" i="3" s="1"/>
  <c r="G18" i="3"/>
  <c r="AE18" i="3" s="1"/>
  <c r="F18" i="3"/>
  <c r="AD18" i="3" s="1"/>
  <c r="E18" i="3"/>
  <c r="AC18" i="3" s="1"/>
  <c r="D18" i="3"/>
  <c r="AB18" i="3" s="1"/>
  <c r="C18" i="3"/>
  <c r="AA18" i="3" s="1"/>
  <c r="I18" i="3"/>
  <c r="AG18" i="3" s="1"/>
  <c r="B18" i="3"/>
  <c r="Z18" i="3" s="1"/>
  <c r="U19" i="3"/>
  <c r="X18" i="3"/>
  <c r="J17" i="2"/>
  <c r="AH17" i="2" s="1"/>
  <c r="K17" i="2"/>
  <c r="AI17" i="2" s="1"/>
  <c r="L17" i="2"/>
  <c r="AJ17" i="2" s="1"/>
  <c r="M17" i="2"/>
  <c r="AK17" i="2" s="1"/>
  <c r="N17" i="2"/>
  <c r="AL17" i="2" s="1"/>
  <c r="O17" i="2"/>
  <c r="AM17" i="2" s="1"/>
  <c r="P17" i="2"/>
  <c r="AN17" i="2" s="1"/>
  <c r="Q17" i="2"/>
  <c r="AO17" i="2" s="1"/>
  <c r="W18" i="2" l="1"/>
  <c r="X18" i="2" s="1"/>
  <c r="P18" i="3"/>
  <c r="AN18" i="3" s="1"/>
  <c r="O18" i="3"/>
  <c r="AM18" i="3" s="1"/>
  <c r="N18" i="3"/>
  <c r="AL18" i="3" s="1"/>
  <c r="M18" i="3"/>
  <c r="AK18" i="3" s="1"/>
  <c r="L18" i="3"/>
  <c r="AJ18" i="3" s="1"/>
  <c r="K18" i="3"/>
  <c r="AI18" i="3" s="1"/>
  <c r="J18" i="3"/>
  <c r="AH18" i="3" s="1"/>
  <c r="Q18" i="3"/>
  <c r="AO18" i="3" s="1"/>
  <c r="W19" i="3"/>
  <c r="X19" i="3" s="1"/>
  <c r="V19" i="3"/>
  <c r="B18" i="2"/>
  <c r="Z18" i="2" s="1"/>
  <c r="C18" i="2"/>
  <c r="AA18" i="2" s="1"/>
  <c r="D18" i="2"/>
  <c r="AB18" i="2" s="1"/>
  <c r="E18" i="2"/>
  <c r="AC18" i="2" s="1"/>
  <c r="F18" i="2"/>
  <c r="AD18" i="2" s="1"/>
  <c r="G18" i="2"/>
  <c r="AE18" i="2" s="1"/>
  <c r="H18" i="2"/>
  <c r="AF18" i="2" s="1"/>
  <c r="I18" i="2"/>
  <c r="AG18" i="2" s="1"/>
  <c r="U19" i="2" l="1"/>
  <c r="V19" i="2" s="1"/>
  <c r="H19" i="3"/>
  <c r="AF19" i="3" s="1"/>
  <c r="G19" i="3"/>
  <c r="AE19" i="3" s="1"/>
  <c r="F19" i="3"/>
  <c r="AD19" i="3" s="1"/>
  <c r="E19" i="3"/>
  <c r="AC19" i="3" s="1"/>
  <c r="D19" i="3"/>
  <c r="AB19" i="3" s="1"/>
  <c r="C19" i="3"/>
  <c r="AA19" i="3" s="1"/>
  <c r="I19" i="3"/>
  <c r="AG19" i="3" s="1"/>
  <c r="B19" i="3"/>
  <c r="Z19" i="3" s="1"/>
  <c r="P19" i="3"/>
  <c r="AN19" i="3" s="1"/>
  <c r="O19" i="3"/>
  <c r="AM19" i="3" s="1"/>
  <c r="N19" i="3"/>
  <c r="AL19" i="3" s="1"/>
  <c r="M19" i="3"/>
  <c r="AK19" i="3" s="1"/>
  <c r="L19" i="3"/>
  <c r="AJ19" i="3" s="1"/>
  <c r="K19" i="3"/>
  <c r="AI19" i="3" s="1"/>
  <c r="J19" i="3"/>
  <c r="AH19" i="3" s="1"/>
  <c r="Q19" i="3"/>
  <c r="AO19" i="3" s="1"/>
  <c r="J18" i="2"/>
  <c r="AH18" i="2" s="1"/>
  <c r="K18" i="2"/>
  <c r="AI18" i="2" s="1"/>
  <c r="L18" i="2"/>
  <c r="AJ18" i="2" s="1"/>
  <c r="M18" i="2"/>
  <c r="AK18" i="2" s="1"/>
  <c r="N18" i="2"/>
  <c r="AL18" i="2" s="1"/>
  <c r="O18" i="2"/>
  <c r="AM18" i="2" s="1"/>
  <c r="P18" i="2"/>
  <c r="AN18" i="2" s="1"/>
  <c r="Q18" i="2"/>
  <c r="AO18" i="2" s="1"/>
  <c r="W19" i="2" l="1"/>
  <c r="X19" i="2" s="1"/>
  <c r="J19" i="2" s="1"/>
  <c r="AH19" i="2" s="1"/>
  <c r="B19" i="2"/>
  <c r="Z19" i="2" s="1"/>
  <c r="C19" i="2"/>
  <c r="AA19" i="2" s="1"/>
  <c r="D19" i="2"/>
  <c r="AB19" i="2" s="1"/>
  <c r="E19" i="2"/>
  <c r="AC19" i="2" s="1"/>
  <c r="F19" i="2"/>
  <c r="AD19" i="2" s="1"/>
  <c r="G19" i="2"/>
  <c r="AE19" i="2" s="1"/>
  <c r="H19" i="2"/>
  <c r="AF19" i="2" s="1"/>
  <c r="I19" i="2"/>
  <c r="AG19" i="2" s="1"/>
  <c r="Y2" i="1"/>
  <c r="AF15" i="1"/>
  <c r="AF14" i="1"/>
  <c r="AF13" i="1"/>
  <c r="AF2" i="1"/>
  <c r="AE17" i="1"/>
  <c r="W17" i="1"/>
  <c r="AE16" i="1"/>
  <c r="W16" i="1"/>
  <c r="AE15" i="1"/>
  <c r="W15" i="1"/>
  <c r="AE14" i="1"/>
  <c r="W14" i="1"/>
  <c r="AE13" i="1"/>
  <c r="W13" i="1"/>
  <c r="AE12" i="1"/>
  <c r="W12" i="1"/>
  <c r="AE11" i="1"/>
  <c r="W11" i="1"/>
  <c r="AE10" i="1"/>
  <c r="W10" i="1"/>
  <c r="AE9" i="1"/>
  <c r="W9" i="1"/>
  <c r="AE8" i="1"/>
  <c r="W8" i="1"/>
  <c r="AE7" i="1"/>
  <c r="W7" i="1"/>
  <c r="AE6" i="1"/>
  <c r="W6" i="1"/>
  <c r="AE5" i="1"/>
  <c r="W5" i="1"/>
  <c r="AE4" i="1"/>
  <c r="W4" i="1"/>
  <c r="AE3" i="1"/>
  <c r="W3" i="1"/>
  <c r="AF17" i="1"/>
  <c r="AF16" i="1"/>
  <c r="AF11" i="1"/>
  <c r="AF10" i="1"/>
  <c r="AF9" i="1"/>
  <c r="AF8" i="1"/>
  <c r="AF7" i="1"/>
  <c r="AF6" i="1"/>
  <c r="AF5" i="1"/>
  <c r="AF4" i="1"/>
  <c r="AF3" i="1"/>
  <c r="AE2" i="1"/>
  <c r="W2" i="1"/>
  <c r="AD17" i="1"/>
  <c r="AD16" i="1"/>
  <c r="AD15" i="1"/>
  <c r="AD14" i="1"/>
  <c r="AD13" i="1"/>
  <c r="AD12" i="1"/>
  <c r="AD11" i="1"/>
  <c r="AD10" i="1"/>
  <c r="AD9" i="1"/>
  <c r="AD8" i="1"/>
  <c r="AD7" i="1"/>
  <c r="AD6" i="1"/>
  <c r="AD5" i="1"/>
  <c r="AD4" i="1"/>
  <c r="AD3" i="1"/>
  <c r="AG2" i="1"/>
  <c r="AF12" i="1"/>
  <c r="AD2" i="1"/>
  <c r="AC17" i="1"/>
  <c r="U17" i="1"/>
  <c r="AC16" i="1"/>
  <c r="U16" i="1"/>
  <c r="AC15" i="1"/>
  <c r="U15" i="1"/>
  <c r="AC14" i="1"/>
  <c r="U14" i="1"/>
  <c r="AC13" i="1"/>
  <c r="U13" i="1"/>
  <c r="AC12" i="1"/>
  <c r="U12" i="1"/>
  <c r="AC11" i="1"/>
  <c r="U11" i="1"/>
  <c r="AC10" i="1"/>
  <c r="U10" i="1"/>
  <c r="AC9" i="1"/>
  <c r="U9" i="1"/>
  <c r="AC8" i="1"/>
  <c r="U8" i="1"/>
  <c r="AC7" i="1"/>
  <c r="U7" i="1"/>
  <c r="AC6" i="1"/>
  <c r="U6" i="1"/>
  <c r="AC5" i="1"/>
  <c r="U5" i="1"/>
  <c r="AC4" i="1"/>
  <c r="U4" i="1"/>
  <c r="AC3" i="1"/>
  <c r="U3" i="1"/>
  <c r="AC2" i="1"/>
  <c r="AB17" i="1"/>
  <c r="T16" i="1"/>
  <c r="T15" i="1"/>
  <c r="T14" i="1"/>
  <c r="AB12" i="1"/>
  <c r="AB11" i="1"/>
  <c r="AB10" i="1"/>
  <c r="AB9" i="1"/>
  <c r="AB8" i="1"/>
  <c r="AB7" i="1"/>
  <c r="AB6" i="1"/>
  <c r="T6" i="1"/>
  <c r="T5" i="1"/>
  <c r="AB4" i="1"/>
  <c r="T4" i="1"/>
  <c r="AB3" i="1"/>
  <c r="T3" i="1"/>
  <c r="U2" i="1"/>
  <c r="T17" i="1"/>
  <c r="AB16" i="1"/>
  <c r="AB15" i="1"/>
  <c r="AB14" i="1"/>
  <c r="AB13" i="1"/>
  <c r="T13" i="1"/>
  <c r="T12" i="1"/>
  <c r="T11" i="1"/>
  <c r="T10" i="1"/>
  <c r="T9" i="1"/>
  <c r="T8" i="1"/>
  <c r="T7" i="1"/>
  <c r="AB5" i="1"/>
  <c r="AB2" i="1"/>
  <c r="T2" i="1"/>
  <c r="AK17" i="1"/>
  <c r="AA17" i="1"/>
  <c r="AK16" i="1"/>
  <c r="AA16" i="1"/>
  <c r="AL16" i="1"/>
  <c r="AJ16" i="1"/>
  <c r="S16" i="1"/>
  <c r="AK15" i="1"/>
  <c r="AA15" i="1"/>
  <c r="AL15" i="1"/>
  <c r="AJ15" i="1"/>
  <c r="S15" i="1"/>
  <c r="AL14" i="1"/>
  <c r="AJ14" i="1"/>
  <c r="S14" i="1"/>
  <c r="AK13" i="1"/>
  <c r="AA13" i="1"/>
  <c r="AJ13" i="1"/>
  <c r="AL13" i="1"/>
  <c r="S13" i="1"/>
  <c r="AK12" i="1"/>
  <c r="AA12" i="1"/>
  <c r="AJ12" i="1"/>
  <c r="AL12" i="1"/>
  <c r="S12" i="1"/>
  <c r="AK11" i="1"/>
  <c r="AA11" i="1"/>
  <c r="AK9" i="1"/>
  <c r="AA9" i="1"/>
  <c r="AK8" i="1"/>
  <c r="AA8" i="1"/>
  <c r="AL8" i="1"/>
  <c r="AJ8" i="1"/>
  <c r="S8" i="1"/>
  <c r="AK7" i="1"/>
  <c r="AA7" i="1"/>
  <c r="AJ6" i="1"/>
  <c r="AL6" i="1"/>
  <c r="S6" i="1"/>
  <c r="AK5" i="1"/>
  <c r="AA5" i="1"/>
  <c r="AJ5" i="1"/>
  <c r="AL5" i="1"/>
  <c r="S5" i="1"/>
  <c r="AK4" i="1"/>
  <c r="AA4" i="1"/>
  <c r="AL4" i="1"/>
  <c r="AJ4" i="1"/>
  <c r="S4" i="1"/>
  <c r="AK3" i="1"/>
  <c r="AA3" i="1"/>
  <c r="AJ11" i="1"/>
  <c r="S11" i="1"/>
  <c r="AL11" i="1"/>
  <c r="AL7" i="1"/>
  <c r="S7" i="1"/>
  <c r="AJ7" i="1"/>
  <c r="AH17" i="1"/>
  <c r="AH16" i="1"/>
  <c r="AH15" i="1"/>
  <c r="AH14" i="1"/>
  <c r="Z14" i="1"/>
  <c r="Z13" i="1"/>
  <c r="AH12" i="1"/>
  <c r="Z12" i="1"/>
  <c r="Z11" i="1"/>
  <c r="AH10" i="1"/>
  <c r="Z10" i="1"/>
  <c r="AH9" i="1"/>
  <c r="Z9" i="1"/>
  <c r="AH8" i="1"/>
  <c r="Z8" i="1"/>
  <c r="AH7" i="1"/>
  <c r="Z7" i="1"/>
  <c r="AH6" i="1"/>
  <c r="Z6" i="1"/>
  <c r="AH5" i="1"/>
  <c r="Z5" i="1"/>
  <c r="AH4" i="1"/>
  <c r="Z4" i="1"/>
  <c r="AH3" i="1"/>
  <c r="Z3" i="1"/>
  <c r="AJ10" i="1"/>
  <c r="S10" i="1"/>
  <c r="AL10" i="1"/>
  <c r="S3" i="1"/>
  <c r="AL3" i="1"/>
  <c r="AJ3" i="1"/>
  <c r="AK2" i="1"/>
  <c r="AA2" i="1"/>
  <c r="Z17" i="1"/>
  <c r="Z16" i="1"/>
  <c r="Z15" i="1"/>
  <c r="AH13" i="1"/>
  <c r="AH11" i="1"/>
  <c r="AL2" i="1"/>
  <c r="S2" i="1"/>
  <c r="AJ2" i="1"/>
  <c r="AA14" i="1"/>
  <c r="AK14" i="1"/>
  <c r="AA10" i="1"/>
  <c r="AK10" i="1"/>
  <c r="AA6" i="1"/>
  <c r="AK6" i="1"/>
  <c r="AH2" i="1"/>
  <c r="X2" i="1"/>
  <c r="Z2" i="1"/>
  <c r="V2" i="1"/>
  <c r="AG17" i="1"/>
  <c r="X17" i="1"/>
  <c r="Y17" i="1"/>
  <c r="AG16" i="1"/>
  <c r="X16" i="1"/>
  <c r="Y16" i="1"/>
  <c r="V16" i="1"/>
  <c r="AG15" i="1"/>
  <c r="X15" i="1"/>
  <c r="Y15" i="1"/>
  <c r="V15" i="1"/>
  <c r="AG14" i="1"/>
  <c r="X14" i="1"/>
  <c r="Y14" i="1"/>
  <c r="V14" i="1"/>
  <c r="AG13" i="1"/>
  <c r="X13" i="1"/>
  <c r="Y13" i="1"/>
  <c r="V13" i="1"/>
  <c r="AG12" i="1"/>
  <c r="X12" i="1"/>
  <c r="Y12" i="1"/>
  <c r="V12" i="1"/>
  <c r="AG11" i="1"/>
  <c r="X11" i="1"/>
  <c r="Y11" i="1"/>
  <c r="V11" i="1"/>
  <c r="AG10" i="1"/>
  <c r="X10" i="1"/>
  <c r="Y10" i="1"/>
  <c r="V10" i="1"/>
  <c r="AG9" i="1"/>
  <c r="X9" i="1"/>
  <c r="Y9" i="1"/>
  <c r="AG8" i="1"/>
  <c r="X8" i="1"/>
  <c r="Y8" i="1"/>
  <c r="V8" i="1"/>
  <c r="AG7" i="1"/>
  <c r="X7" i="1"/>
  <c r="Y7" i="1"/>
  <c r="V7" i="1"/>
  <c r="AG6" i="1"/>
  <c r="X6" i="1"/>
  <c r="Y6" i="1"/>
  <c r="V6" i="1"/>
  <c r="AG5" i="1"/>
  <c r="X5" i="1"/>
  <c r="Y5" i="1"/>
  <c r="V5" i="1"/>
  <c r="AG4" i="1"/>
  <c r="X4" i="1"/>
  <c r="Y4" i="1"/>
  <c r="V4" i="1"/>
  <c r="AG3" i="1"/>
  <c r="X3" i="1"/>
  <c r="Y3" i="1"/>
  <c r="V3" i="1"/>
  <c r="AJ17" i="1"/>
  <c r="S17" i="1"/>
  <c r="V17" i="1"/>
  <c r="AL17" i="1"/>
  <c r="AJ9" i="1"/>
  <c r="S9" i="1"/>
  <c r="V9" i="1"/>
  <c r="AL9" i="1"/>
  <c r="P19" i="2" l="1"/>
  <c r="AN19" i="2" s="1"/>
  <c r="Q19" i="2"/>
  <c r="AO19" i="2" s="1"/>
  <c r="O19" i="2"/>
  <c r="AM19" i="2" s="1"/>
  <c r="N19" i="2"/>
  <c r="AL19" i="2" s="1"/>
  <c r="M19" i="2"/>
  <c r="AK19" i="2" s="1"/>
  <c r="L19" i="2"/>
  <c r="AJ19" i="2" s="1"/>
  <c r="K19" i="2"/>
  <c r="AI19" i="2" s="1"/>
</calcChain>
</file>

<file path=xl/sharedStrings.xml><?xml version="1.0" encoding="utf-8"?>
<sst xmlns="http://schemas.openxmlformats.org/spreadsheetml/2006/main" count="40" uniqueCount="34">
  <si>
    <t>Lista</t>
  </si>
  <si>
    <t>Nombre del Icono:</t>
  </si>
  <si>
    <t>Contrucción de Ayuda</t>
  </si>
  <si>
    <t>Nombre:</t>
  </si>
  <si>
    <t>Primera Cadena</t>
  </si>
  <si>
    <t>Segunda Cadena</t>
  </si>
  <si>
    <t>Cálculos</t>
  </si>
  <si>
    <t>#0b</t>
  </si>
  <si>
    <t>#,</t>
  </si>
  <si>
    <t>Transponedor de Valores</t>
  </si>
  <si>
    <t>Copia el Texto Binario Completo Aquí:</t>
  </si>
  <si>
    <t>Selecciona de la lista el icono y presion copiar</t>
  </si>
  <si>
    <t>Fuente de los iconos</t>
  </si>
  <si>
    <t>https://engsta.net/iot-icon-set-for-i2c-oled-displays/</t>
  </si>
  <si>
    <t>GENERADOR DE ICONOS 16x16</t>
  </si>
  <si>
    <t>(para aplicaciones Arduino con pantalla OLED)</t>
  </si>
  <si>
    <t>El generador está formado por tres bloques:</t>
  </si>
  <si>
    <t>Generador de Gráficas:</t>
  </si>
  <si>
    <t>Decodifica una cadena binaria mostrando el icono que representa</t>
  </si>
  <si>
    <t>Presenta una lista de Iconos prediseñados.</t>
  </si>
  <si>
    <t>Decodificador binario:</t>
  </si>
  <si>
    <t>Lista de Iconos:</t>
  </si>
  <si>
    <t>Permite generar Iconos punteando sobre la pantalla.</t>
  </si>
  <si>
    <t>Este libro contiene macros para la composición de las cadenas de texto, copiado y otras funciones necesarias para su uso, no contine claves por lo que se puede acceder a todos los módulos.</t>
  </si>
  <si>
    <t>jgarvidsson@gmail.com</t>
  </si>
  <si>
    <t>No se recomienda desproteger las hojas si no estás seguro de lo que estas haciendo.</t>
  </si>
  <si>
    <t>0b</t>
  </si>
  <si>
    <t>B</t>
  </si>
  <si>
    <t>@jgarvidsson</t>
  </si>
  <si>
    <t>www.whitenoisesolutions.com</t>
  </si>
  <si>
    <t xml:space="preserve"> Mas informacion en</t>
  </si>
  <si>
    <t xml:space="preserve"> https://github.com/jgarvidsson/Generador-Iconos-16x16-para-Arduino</t>
  </si>
  <si>
    <t>Desconocido</t>
  </si>
  <si>
    <t>unsigned char Alarma[] = {_x000D_0b00000000, 0b00000000, //_x000D_0b00000000, 0b00000000, //_x000D_0b00000011, 0b11100000, //       #####_x000D_0b00000111, 0b11110000, //      #######_x000D_0b00001100, 0b10011000, //     ##  #  ##_x000D_0b00011000, 0b00111100, //    ##     ####_x000D_0b00110000, 0b01110110, //   ##     ### ##_x000D_0b00110000, 0b11100110, //   ##    ###  ##_x000D_0b00111001, 0b11001110, //   ###  ###  ###_x000D_0b00110000, 0b10000110, //   ##    #    ##_x000D_0b00110000, 0b00000110, //   ##         ##_x000D_0b00011000, 0b00001100, //    ##       ##_x000D_0b00001100, 0b10011000, //     ##  #  ##_x000D_0b00000111, 0b11110000, //      #######_x000D_0b00000011, 0b11100000, //       #####_x000D_0b00000000, 0b00000000, //_x000D_};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</si>
</sst>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b/>
      <sz val="10"/>
      <color rgb="FF00206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9"/>
      <color rgb="FF7030A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8"/>
      <color rgb="FF000000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8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19">
    <xf numFmtId="0" fontId="0" fillId="0" borderId="0" xfId="0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3" borderId="0" xfId="0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2" xfId="0" applyFill="1" applyBorder="1" applyAlignment="1" applyProtection="1">
      <alignment horizontal="center" vertical="center"/>
      <protection locked="0"/>
    </xf>
    <xf numFmtId="0" fontId="0" fillId="3" borderId="5" xfId="0" applyFill="1" applyBorder="1" applyAlignment="1" applyProtection="1">
      <alignment horizontal="center" vertical="center"/>
      <protection locked="0"/>
    </xf>
    <xf numFmtId="0" fontId="0" fillId="3" borderId="4" xfId="0" applyFill="1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hidden="1"/>
    </xf>
    <xf numFmtId="0" fontId="0" fillId="0" borderId="11" xfId="0" applyBorder="1" applyAlignment="1" applyProtection="1">
      <alignment horizontal="center" vertical="center"/>
      <protection hidden="1"/>
    </xf>
    <xf numFmtId="0" fontId="0" fillId="0" borderId="12" xfId="0" applyBorder="1" applyAlignment="1" applyProtection="1">
      <alignment horizontal="center" vertical="center"/>
      <protection hidden="1"/>
    </xf>
    <xf numFmtId="0" fontId="0" fillId="0" borderId="13" xfId="0" applyBorder="1" applyAlignment="1" applyProtection="1">
      <alignment horizontal="center" vertical="center"/>
      <protection hidden="1"/>
    </xf>
    <xf numFmtId="0" fontId="0" fillId="0" borderId="14" xfId="0" applyBorder="1" applyAlignment="1" applyProtection="1">
      <alignment horizontal="center" vertical="center"/>
      <protection hidden="1"/>
    </xf>
    <xf numFmtId="0" fontId="0" fillId="0" borderId="15" xfId="0" applyBorder="1" applyAlignment="1" applyProtection="1">
      <alignment horizontal="center" vertical="center"/>
      <protection hidden="1"/>
    </xf>
    <xf numFmtId="0" fontId="0" fillId="3" borderId="3" xfId="0" applyFill="1" applyBorder="1" applyAlignment="1" applyProtection="1">
      <alignment horizontal="center" vertical="center"/>
      <protection locked="0"/>
    </xf>
    <xf numFmtId="0" fontId="0" fillId="3" borderId="6" xfId="0" applyFill="1" applyBorder="1" applyAlignment="1" applyProtection="1">
      <alignment horizontal="center" vertical="center"/>
      <protection locked="0"/>
    </xf>
    <xf numFmtId="0" fontId="0" fillId="3" borderId="7" xfId="0" applyFill="1" applyBorder="1" applyAlignment="1" applyProtection="1">
      <alignment horizontal="center" vertical="center"/>
      <protection locked="0"/>
    </xf>
    <xf numFmtId="0" fontId="0" fillId="3" borderId="8" xfId="0" applyFill="1" applyBorder="1" applyAlignment="1" applyProtection="1">
      <alignment horizontal="center" vertical="center"/>
      <protection locked="0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3" fillId="0" borderId="0" xfId="0" applyFont="1"/>
    <xf numFmtId="0" fontId="3" fillId="0" borderId="0" xfId="0" applyFont="1" applyBorder="1" applyAlignment="1">
      <alignment horizontal="left" wrapText="1"/>
    </xf>
    <xf numFmtId="0" fontId="8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0" fillId="3" borderId="18" xfId="0" applyFill="1" applyBorder="1" applyAlignment="1" applyProtection="1">
      <alignment horizontal="center" vertical="center"/>
      <protection locked="0"/>
    </xf>
    <xf numFmtId="0" fontId="0" fillId="3" borderId="19" xfId="0" applyFill="1" applyBorder="1" applyAlignment="1" applyProtection="1">
      <alignment horizontal="center" vertical="center"/>
      <protection locked="0"/>
    </xf>
    <xf numFmtId="0" fontId="0" fillId="3" borderId="20" xfId="0" applyFill="1" applyBorder="1" applyAlignment="1" applyProtection="1">
      <alignment horizontal="center" vertical="center"/>
      <protection locked="0"/>
    </xf>
    <xf numFmtId="0" fontId="0" fillId="3" borderId="21" xfId="0" applyFill="1" applyBorder="1" applyAlignment="1" applyProtection="1">
      <alignment horizontal="center" vertical="center"/>
      <protection locked="0"/>
    </xf>
    <xf numFmtId="0" fontId="0" fillId="3" borderId="22" xfId="0" applyFill="1" applyBorder="1" applyAlignment="1" applyProtection="1">
      <alignment horizontal="center" vertical="center"/>
      <protection locked="0"/>
    </xf>
    <xf numFmtId="0" fontId="0" fillId="3" borderId="23" xfId="0" applyFill="1" applyBorder="1" applyAlignment="1" applyProtection="1">
      <alignment horizontal="center" vertical="center"/>
      <protection locked="0"/>
    </xf>
    <xf numFmtId="0" fontId="0" fillId="3" borderId="24" xfId="0" applyFill="1" applyBorder="1" applyAlignment="1" applyProtection="1">
      <alignment horizontal="center" vertical="center"/>
      <protection locked="0"/>
    </xf>
    <xf numFmtId="0" fontId="0" fillId="0" borderId="0" xfId="0" applyAlignment="1" applyProtection="1"/>
    <xf numFmtId="0" fontId="2" fillId="0" borderId="0" xfId="0" applyFont="1" applyBorder="1" applyAlignment="1">
      <alignment horizontal="right" vertical="center"/>
    </xf>
    <xf numFmtId="0" fontId="3" fillId="0" borderId="0" xfId="0" applyFont="1" applyBorder="1" applyAlignment="1">
      <alignment vertical="center"/>
    </xf>
    <xf numFmtId="0" fontId="1" fillId="7" borderId="1" xfId="0" applyFont="1" applyFill="1" applyBorder="1"/>
    <xf numFmtId="0" fontId="1" fillId="7" borderId="2" xfId="0" applyFont="1" applyFill="1" applyBorder="1"/>
    <xf numFmtId="0" fontId="1" fillId="7" borderId="3" xfId="0" applyFont="1" applyFill="1" applyBorder="1"/>
    <xf numFmtId="0" fontId="1" fillId="7" borderId="4" xfId="0" applyFont="1" applyFill="1" applyBorder="1"/>
    <xf numFmtId="0" fontId="1" fillId="7" borderId="5" xfId="0" applyFont="1" applyFill="1" applyBorder="1"/>
    <xf numFmtId="0" fontId="1" fillId="7" borderId="0" xfId="0" applyFont="1" applyFill="1" applyBorder="1"/>
    <xf numFmtId="0" fontId="0" fillId="8" borderId="4" xfId="0" applyFill="1" applyBorder="1"/>
    <xf numFmtId="0" fontId="0" fillId="8" borderId="0" xfId="0" applyFill="1" applyBorder="1"/>
    <xf numFmtId="0" fontId="0" fillId="8" borderId="5" xfId="0" applyFill="1" applyBorder="1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14" fillId="0" borderId="0" xfId="0" applyFont="1" applyAlignment="1" applyProtection="1">
      <alignment wrapText="1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17" fillId="12" borderId="4" xfId="1" applyFont="1" applyFill="1" applyBorder="1" applyAlignment="1">
      <alignment horizontal="center"/>
    </xf>
    <xf numFmtId="0" fontId="17" fillId="12" borderId="0" xfId="1" applyFont="1" applyFill="1" applyBorder="1" applyAlignment="1">
      <alignment horizontal="center"/>
    </xf>
    <xf numFmtId="0" fontId="17" fillId="12" borderId="5" xfId="1" applyFont="1" applyFill="1" applyBorder="1" applyAlignment="1">
      <alignment horizontal="center"/>
    </xf>
    <xf numFmtId="0" fontId="0" fillId="4" borderId="4" xfId="0" quotePrefix="1" applyFont="1" applyFill="1" applyBorder="1" applyAlignment="1">
      <alignment horizontal="center"/>
    </xf>
    <xf numFmtId="0" fontId="0" fillId="4" borderId="0" xfId="0" quotePrefix="1" applyFont="1" applyFill="1" applyBorder="1" applyAlignment="1">
      <alignment horizontal="center"/>
    </xf>
    <xf numFmtId="0" fontId="0" fillId="4" borderId="5" xfId="0" quotePrefix="1" applyFont="1" applyFill="1" applyBorder="1" applyAlignment="1">
      <alignment horizontal="center"/>
    </xf>
    <xf numFmtId="0" fontId="15" fillId="9" borderId="4" xfId="0" applyFont="1" applyFill="1" applyBorder="1" applyAlignment="1">
      <alignment horizontal="center"/>
    </xf>
    <xf numFmtId="0" fontId="15" fillId="9" borderId="0" xfId="0" applyFont="1" applyFill="1" applyBorder="1" applyAlignment="1">
      <alignment horizontal="center"/>
    </xf>
    <xf numFmtId="0" fontId="15" fillId="9" borderId="5" xfId="0" applyFont="1" applyFill="1" applyBorder="1" applyAlignment="1">
      <alignment horizontal="center"/>
    </xf>
    <xf numFmtId="0" fontId="12" fillId="7" borderId="0" xfId="0" applyFont="1" applyFill="1" applyBorder="1" applyAlignment="1">
      <alignment horizontal="center" vertical="center"/>
    </xf>
    <xf numFmtId="0" fontId="13" fillId="7" borderId="0" xfId="0" applyFont="1" applyFill="1" applyBorder="1" applyAlignment="1">
      <alignment horizontal="center" vertical="top"/>
    </xf>
    <xf numFmtId="0" fontId="0" fillId="0" borderId="4" xfId="0" applyBorder="1" applyAlignment="1">
      <alignment horizontal="left" wrapText="1"/>
    </xf>
    <xf numFmtId="0" fontId="0" fillId="0" borderId="0" xfId="0" applyBorder="1" applyAlignment="1">
      <alignment horizontal="left" wrapText="1"/>
    </xf>
    <xf numFmtId="0" fontId="0" fillId="0" borderId="5" xfId="0" applyBorder="1" applyAlignment="1">
      <alignment horizontal="left" wrapText="1"/>
    </xf>
    <xf numFmtId="0" fontId="16" fillId="10" borderId="0" xfId="0" applyFont="1" applyFill="1" applyAlignment="1">
      <alignment horizontal="center"/>
    </xf>
    <xf numFmtId="0" fontId="16" fillId="10" borderId="5" xfId="0" applyFont="1" applyFill="1" applyBorder="1" applyAlignment="1">
      <alignment horizontal="center"/>
    </xf>
    <xf numFmtId="0" fontId="17" fillId="11" borderId="4" xfId="0" applyFont="1" applyFill="1" applyBorder="1" applyAlignment="1">
      <alignment horizontal="center"/>
    </xf>
    <xf numFmtId="0" fontId="17" fillId="11" borderId="0" xfId="0" applyFont="1" applyFill="1" applyBorder="1" applyAlignment="1">
      <alignment horizontal="center"/>
    </xf>
    <xf numFmtId="0" fontId="17" fillId="11" borderId="5" xfId="0" applyFont="1" applyFill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6" borderId="0" xfId="0" applyFont="1" applyFill="1" applyBorder="1" applyAlignment="1">
      <alignment horizontal="right" vertical="center"/>
    </xf>
    <xf numFmtId="0" fontId="0" fillId="5" borderId="0" xfId="0" applyFill="1" applyBorder="1" applyAlignment="1" applyProtection="1">
      <alignment horizontal="center"/>
      <protection locked="0"/>
    </xf>
    <xf numFmtId="0" fontId="6" fillId="4" borderId="0" xfId="0" applyFont="1" applyFill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9" fillId="0" borderId="9" xfId="0" applyFont="1" applyBorder="1" applyAlignment="1" applyProtection="1">
      <alignment horizontal="left" wrapText="1"/>
      <protection locked="0"/>
    </xf>
    <xf numFmtId="0" fontId="9" fillId="0" borderId="16" xfId="0" applyFont="1" applyBorder="1" applyAlignment="1" applyProtection="1">
      <alignment horizontal="left" wrapText="1"/>
      <protection locked="0"/>
    </xf>
    <xf numFmtId="0" fontId="9" fillId="0" borderId="17" xfId="0" applyFont="1" applyBorder="1" applyAlignment="1" applyProtection="1">
      <alignment horizontal="left" wrapText="1"/>
      <protection locked="0"/>
    </xf>
    <xf numFmtId="0" fontId="2" fillId="0" borderId="0" xfId="0" applyFont="1" applyAlignment="1">
      <alignment horizontal="center"/>
    </xf>
    <xf numFmtId="0" fontId="7" fillId="4" borderId="0" xfId="0" applyFont="1" applyFill="1" applyAlignment="1">
      <alignment horizontal="right" vertical="center"/>
    </xf>
    <xf numFmtId="0" fontId="10" fillId="0" borderId="0" xfId="0" applyFont="1" applyAlignment="1">
      <alignment horizontal="center"/>
    </xf>
    <xf numFmtId="0" fontId="11" fillId="0" borderId="0" xfId="1" applyAlignment="1">
      <alignment horizontal="left"/>
    </xf>
    <xf numFmtId="0" fontId="11" fillId="0" borderId="5" xfId="1" applyBorder="1" applyAlignment="1">
      <alignment horizontal="left"/>
    </xf>
  </cellXfs>
  <cellStyles count="2">
    <cellStyle name="Hipervínculo" xfId="1" builtinId="8"/>
    <cellStyle name="Normal" xfId="0" builtinId="0"/>
  </cellStyles>
  <dxfs count="5">
    <dxf>
      <font>
        <strike val="0"/>
        <color theme="1" tint="0.14996795556505021"/>
      </font>
      <fill>
        <patternFill>
          <bgColor theme="1" tint="0.14996795556505021"/>
        </patternFill>
      </fill>
    </dxf>
    <dxf>
      <font>
        <strike val="0"/>
        <color theme="1" tint="0.14996795556505021"/>
      </font>
      <fill>
        <patternFill>
          <bgColor theme="1" tint="0.14996795556505021"/>
        </patternFill>
      </fill>
    </dxf>
    <dxf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strike val="0"/>
        <color theme="1" tint="0.14996795556505021"/>
      </font>
      <fill>
        <patternFill>
          <bgColor theme="1" tint="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Radio" checked="Checked" firstButton="1" fmlaLink="$V$20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532251</xdr:colOff>
      <xdr:row>18</xdr:row>
      <xdr:rowOff>27426</xdr:rowOff>
    </xdr:from>
    <xdr:to>
      <xdr:col>7</xdr:col>
      <xdr:colOff>0</xdr:colOff>
      <xdr:row>19</xdr:row>
      <xdr:rowOff>190500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4251" y="4056501"/>
          <a:ext cx="229749" cy="22974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17</xdr:row>
          <xdr:rowOff>114300</xdr:rowOff>
        </xdr:from>
        <xdr:to>
          <xdr:col>9</xdr:col>
          <xdr:colOff>47625</xdr:colOff>
          <xdr:row>19</xdr:row>
          <xdr:rowOff>38100</xdr:rowOff>
        </xdr:to>
        <xdr:sp macro="" textlink="">
          <xdr:nvSpPr>
            <xdr:cNvPr id="1025" name="BorrarTod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19050</xdr:colOff>
          <xdr:row>19</xdr:row>
          <xdr:rowOff>66675</xdr:rowOff>
        </xdr:from>
        <xdr:to>
          <xdr:col>31</xdr:col>
          <xdr:colOff>9525</xdr:colOff>
          <xdr:row>20</xdr:row>
          <xdr:rowOff>180975</xdr:rowOff>
        </xdr:to>
        <xdr:sp macro="" textlink="">
          <xdr:nvSpPr>
            <xdr:cNvPr id="1026" name="Copia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17</xdr:row>
          <xdr:rowOff>152400</xdr:rowOff>
        </xdr:from>
        <xdr:to>
          <xdr:col>15</xdr:col>
          <xdr:colOff>114300</xdr:colOff>
          <xdr:row>19</xdr:row>
          <xdr:rowOff>28575</xdr:rowOff>
        </xdr:to>
        <xdr:sp macro="" textlink="">
          <xdr:nvSpPr>
            <xdr:cNvPr id="1028" name="Invertir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19050</xdr:colOff>
          <xdr:row>20</xdr:row>
          <xdr:rowOff>190500</xdr:rowOff>
        </xdr:from>
        <xdr:to>
          <xdr:col>31</xdr:col>
          <xdr:colOff>9525</xdr:colOff>
          <xdr:row>22</xdr:row>
          <xdr:rowOff>104775</xdr:rowOff>
        </xdr:to>
        <xdr:sp macro="" textlink="">
          <xdr:nvSpPr>
            <xdr:cNvPr id="1029" name="guarda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47625</xdr:colOff>
          <xdr:row>22</xdr:row>
          <xdr:rowOff>95250</xdr:rowOff>
        </xdr:from>
        <xdr:to>
          <xdr:col>30</xdr:col>
          <xdr:colOff>180975</xdr:colOff>
          <xdr:row>24</xdr:row>
          <xdr:rowOff>0</xdr:rowOff>
        </xdr:to>
        <xdr:sp macro="" textlink="">
          <xdr:nvSpPr>
            <xdr:cNvPr id="1030" name="ComoProyect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34</xdr:col>
      <xdr:colOff>151251</xdr:colOff>
      <xdr:row>22</xdr:row>
      <xdr:rowOff>151251</xdr:rowOff>
    </xdr:from>
    <xdr:to>
      <xdr:col>39</xdr:col>
      <xdr:colOff>0</xdr:colOff>
      <xdr:row>24</xdr:row>
      <xdr:rowOff>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7001" y="4363418"/>
          <a:ext cx="229749" cy="229749"/>
        </a:xfrm>
        <a:prstGeom prst="rect">
          <a:avLst/>
        </a:prstGeom>
      </xdr:spPr>
    </xdr:pic>
    <xdr:clientData/>
  </xdr:twoCellAnchor>
  <xdr:twoCellAnchor>
    <xdr:from>
      <xdr:col>3</xdr:col>
      <xdr:colOff>52918</xdr:colOff>
      <xdr:row>19</xdr:row>
      <xdr:rowOff>158752</xdr:rowOff>
    </xdr:from>
    <xdr:to>
      <xdr:col>21</xdr:col>
      <xdr:colOff>179917</xdr:colOff>
      <xdr:row>22</xdr:row>
      <xdr:rowOff>52918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>
          <a:spLocks noChangeAspect="1"/>
        </xdr:cNvSpPr>
      </xdr:nvSpPr>
      <xdr:spPr>
        <a:xfrm>
          <a:off x="635001" y="3799419"/>
          <a:ext cx="3704166" cy="465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s-ES" sz="1100"/>
            <a:t>Puedes</a:t>
          </a:r>
          <a:r>
            <a:rPr lang="es-ES" sz="1100" baseline="0"/>
            <a:t> copiar el codigo para pegar directamente sobre el IDE</a:t>
          </a:r>
        </a:p>
        <a:p>
          <a:pPr algn="r"/>
          <a:r>
            <a:rPr lang="es-ES" sz="1100" baseline="0"/>
            <a:t>o puedes guardarlo con .txt ( .ino si marcas como Proyecto).</a:t>
          </a:r>
          <a:endParaRPr lang="es-E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3</xdr:row>
          <xdr:rowOff>9525</xdr:rowOff>
        </xdr:from>
        <xdr:to>
          <xdr:col>18</xdr:col>
          <xdr:colOff>3209925</xdr:colOff>
          <xdr:row>19</xdr:row>
          <xdr:rowOff>0</xdr:rowOff>
        </xdr:to>
        <xdr:sp macro="" textlink="">
          <xdr:nvSpPr>
            <xdr:cNvPr id="2049" name="TextBox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20</xdr:row>
          <xdr:rowOff>9525</xdr:rowOff>
        </xdr:from>
        <xdr:to>
          <xdr:col>11</xdr:col>
          <xdr:colOff>142875</xdr:colOff>
          <xdr:row>21</xdr:row>
          <xdr:rowOff>123825</xdr:rowOff>
        </xdr:to>
        <xdr:sp macro="" textlink="">
          <xdr:nvSpPr>
            <xdr:cNvPr id="2050" name="Editar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1152525</xdr:colOff>
          <xdr:row>19</xdr:row>
          <xdr:rowOff>171450</xdr:rowOff>
        </xdr:from>
        <xdr:to>
          <xdr:col>18</xdr:col>
          <xdr:colOff>2066925</xdr:colOff>
          <xdr:row>21</xdr:row>
          <xdr:rowOff>95250</xdr:rowOff>
        </xdr:to>
        <xdr:sp macro="" textlink="">
          <xdr:nvSpPr>
            <xdr:cNvPr id="2051" name="BorrarDeco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19</xdr:col>
      <xdr:colOff>265551</xdr:colOff>
      <xdr:row>22</xdr:row>
      <xdr:rowOff>151251</xdr:rowOff>
    </xdr:from>
    <xdr:to>
      <xdr:col>42</xdr:col>
      <xdr:colOff>0</xdr:colOff>
      <xdr:row>24</xdr:row>
      <xdr:rowOff>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2101" y="4370826"/>
          <a:ext cx="229749" cy="2297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19</xdr:row>
          <xdr:rowOff>76200</xdr:rowOff>
        </xdr:from>
        <xdr:to>
          <xdr:col>18</xdr:col>
          <xdr:colOff>1123950</xdr:colOff>
          <xdr:row>20</xdr:row>
          <xdr:rowOff>95250</xdr:rowOff>
        </xdr:to>
        <xdr:sp macro="" textlink="">
          <xdr:nvSpPr>
            <xdr:cNvPr id="2054" name="Option 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Inicia con 0b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20</xdr:row>
          <xdr:rowOff>57150</xdr:rowOff>
        </xdr:from>
        <xdr:to>
          <xdr:col>18</xdr:col>
          <xdr:colOff>1123950</xdr:colOff>
          <xdr:row>21</xdr:row>
          <xdr:rowOff>76200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Inicia con B</a:t>
              </a:r>
            </a:p>
          </xdr:txBody>
        </xdr:sp>
        <xdr:clientData/>
      </xdr:twoCellAnchor>
    </mc:Choice>
    <mc:Fallback/>
  </mc:AlternateContent>
  <xdr:twoCellAnchor editAs="absolute">
    <xdr:from>
      <xdr:col>19</xdr:col>
      <xdr:colOff>209550</xdr:colOff>
      <xdr:row>2</xdr:row>
      <xdr:rowOff>142875</xdr:rowOff>
    </xdr:from>
    <xdr:to>
      <xdr:col>41</xdr:col>
      <xdr:colOff>76200</xdr:colOff>
      <xdr:row>19</xdr:row>
      <xdr:rowOff>76200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C037BA36-3F42-463D-9CC6-C13828BFA493}"/>
            </a:ext>
          </a:extLst>
        </xdr:cNvPr>
        <xdr:cNvSpPr/>
      </xdr:nvSpPr>
      <xdr:spPr>
        <a:xfrm>
          <a:off x="6896100" y="533400"/>
          <a:ext cx="171450" cy="31908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19</xdr:row>
          <xdr:rowOff>123825</xdr:rowOff>
        </xdr:from>
        <xdr:to>
          <xdr:col>17</xdr:col>
          <xdr:colOff>9525</xdr:colOff>
          <xdr:row>28</xdr:row>
          <xdr:rowOff>161925</xdr:rowOff>
        </xdr:to>
        <xdr:sp macro="" textlink="">
          <xdr:nvSpPr>
            <xdr:cNvPr id="3073" name="Lista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20</xdr:row>
          <xdr:rowOff>9525</xdr:rowOff>
        </xdr:from>
        <xdr:to>
          <xdr:col>19</xdr:col>
          <xdr:colOff>152400</xdr:colOff>
          <xdr:row>21</xdr:row>
          <xdr:rowOff>123825</xdr:rowOff>
        </xdr:to>
        <xdr:sp macro="" textlink="">
          <xdr:nvSpPr>
            <xdr:cNvPr id="3074" name="ActualizarLista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2</xdr:row>
          <xdr:rowOff>161925</xdr:rowOff>
        </xdr:from>
        <xdr:to>
          <xdr:col>19</xdr:col>
          <xdr:colOff>838200</xdr:colOff>
          <xdr:row>4</xdr:row>
          <xdr:rowOff>76200</xdr:rowOff>
        </xdr:to>
        <xdr:sp macro="" textlink="">
          <xdr:nvSpPr>
            <xdr:cNvPr id="3075" name="CopiarParaArduino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19</xdr:col>
      <xdr:colOff>2428875</xdr:colOff>
      <xdr:row>29</xdr:row>
      <xdr:rowOff>151251</xdr:rowOff>
    </xdr:from>
    <xdr:to>
      <xdr:col>41</xdr:col>
      <xdr:colOff>115449</xdr:colOff>
      <xdr:row>31</xdr:row>
      <xdr:rowOff>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5" y="5713851"/>
          <a:ext cx="229749" cy="2297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4</xdr:row>
          <xdr:rowOff>114300</xdr:rowOff>
        </xdr:from>
        <xdr:to>
          <xdr:col>19</xdr:col>
          <xdr:colOff>847725</xdr:colOff>
          <xdr:row>6</xdr:row>
          <xdr:rowOff>47625</xdr:rowOff>
        </xdr:to>
        <xdr:sp macro="" textlink="">
          <xdr:nvSpPr>
            <xdr:cNvPr id="3076" name="GuardarEnArchivo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6</xdr:row>
          <xdr:rowOff>57150</xdr:rowOff>
        </xdr:from>
        <xdr:to>
          <xdr:col>19</xdr:col>
          <xdr:colOff>838200</xdr:colOff>
          <xdr:row>7</xdr:row>
          <xdr:rowOff>123825</xdr:rowOff>
        </xdr:to>
        <xdr:sp macro="" textlink="">
          <xdr:nvSpPr>
            <xdr:cNvPr id="3077" name="GuardarProyecto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838200</xdr:colOff>
      <xdr:row>4</xdr:row>
      <xdr:rowOff>171450</xdr:rowOff>
    </xdr:from>
    <xdr:to>
      <xdr:col>19</xdr:col>
      <xdr:colOff>1571625</xdr:colOff>
      <xdr:row>7</xdr:row>
      <xdr:rowOff>123825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5162550" y="962025"/>
          <a:ext cx="733425" cy="523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*.txt</a:t>
          </a:r>
        </a:p>
        <a:p>
          <a:endParaRPr lang="es-ES" sz="400"/>
        </a:p>
        <a:p>
          <a:r>
            <a:rPr lang="es-ES" sz="1100"/>
            <a:t>*.ino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238125</xdr:colOff>
          <xdr:row>7</xdr:row>
          <xdr:rowOff>104775</xdr:rowOff>
        </xdr:from>
        <xdr:to>
          <xdr:col>19</xdr:col>
          <xdr:colOff>838200</xdr:colOff>
          <xdr:row>9</xdr:row>
          <xdr:rowOff>28575</xdr:rowOff>
        </xdr:to>
        <xdr:sp macro="" textlink="">
          <xdr:nvSpPr>
            <xdr:cNvPr id="3078" name="EditarIconoDesdeLista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19</xdr:col>
      <xdr:colOff>2495550</xdr:colOff>
      <xdr:row>2</xdr:row>
      <xdr:rowOff>85725</xdr:rowOff>
    </xdr:from>
    <xdr:to>
      <xdr:col>41</xdr:col>
      <xdr:colOff>57150</xdr:colOff>
      <xdr:row>19</xdr:row>
      <xdr:rowOff>47625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6819900" y="485775"/>
          <a:ext cx="104775" cy="32194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17</xdr:col>
      <xdr:colOff>152400</xdr:colOff>
      <xdr:row>22</xdr:row>
      <xdr:rowOff>19050</xdr:rowOff>
    </xdr:from>
    <xdr:to>
      <xdr:col>19</xdr:col>
      <xdr:colOff>2495550</xdr:colOff>
      <xdr:row>27</xdr:row>
      <xdr:rowOff>38100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3390900" y="4248150"/>
          <a:ext cx="3429000" cy="971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ES" sz="1100"/>
            <a:t>Carga Lista</a:t>
          </a:r>
          <a:r>
            <a:rPr lang="es-ES" sz="1100" baseline="0"/>
            <a:t> para obtener el listado de iconos recopilados en este archivo.</a:t>
          </a:r>
        </a:p>
        <a:p>
          <a:pPr algn="l"/>
          <a:r>
            <a:rPr lang="es-ES" sz="1100" baseline="0"/>
            <a:t>La lista no puede ser modificada, pero se puede enviar al Editor en caso de querer modificar algún detalle y guardarlo con el nombre que seleccione el usuario.</a:t>
          </a:r>
          <a:endParaRPr lang="es-E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jgarvidsson@gmail.com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7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6.xml"/><Relationship Id="rId9" Type="http://schemas.openxmlformats.org/officeDocument/2006/relationships/image" Target="../media/image9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4.xml"/><Relationship Id="rId1" Type="http://schemas.openxmlformats.org/officeDocument/2006/relationships/hyperlink" Target="https://engsta.net/iot-icon-set-for-i2c-oled-displays/" TargetMode="External"/><Relationship Id="rId6" Type="http://schemas.openxmlformats.org/officeDocument/2006/relationships/control" Target="../activeX/activeX10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2.emf"/><Relationship Id="rId14" Type="http://schemas.openxmlformats.org/officeDocument/2006/relationships/control" Target="../activeX/activeX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8680F-09E8-4F04-BD86-14BA3CC9DC7A}">
  <sheetPr codeName="Hoja4"/>
  <dimension ref="A1:G62"/>
  <sheetViews>
    <sheetView showGridLines="0" showRowColHeaders="0" tabSelected="1" workbookViewId="0">
      <selection activeCell="F20" sqref="F20"/>
    </sheetView>
  </sheetViews>
  <sheetFormatPr baseColWidth="10" defaultColWidth="0" defaultRowHeight="15" zeroHeight="1" x14ac:dyDescent="0.25"/>
  <cols>
    <col min="1" max="7" width="11.42578125" customWidth="1"/>
    <col min="8" max="16384" width="11.42578125" hidden="1"/>
  </cols>
  <sheetData>
    <row r="1" spans="1:7" x14ac:dyDescent="0.25">
      <c r="A1" s="67"/>
      <c r="B1" s="68"/>
      <c r="C1" s="68"/>
      <c r="D1" s="68"/>
      <c r="E1" s="68"/>
      <c r="F1" s="68"/>
      <c r="G1" s="69"/>
    </row>
    <row r="2" spans="1:7" ht="26.25" x14ac:dyDescent="0.25">
      <c r="A2" s="70"/>
      <c r="B2" s="94" t="s">
        <v>14</v>
      </c>
      <c r="C2" s="94"/>
      <c r="D2" s="94"/>
      <c r="E2" s="94"/>
      <c r="F2" s="94"/>
      <c r="G2" s="71"/>
    </row>
    <row r="3" spans="1:7" x14ac:dyDescent="0.25">
      <c r="A3" s="70"/>
      <c r="B3" s="95" t="s">
        <v>15</v>
      </c>
      <c r="C3" s="95"/>
      <c r="D3" s="95"/>
      <c r="E3" s="95"/>
      <c r="F3" s="95"/>
      <c r="G3" s="71"/>
    </row>
    <row r="4" spans="1:7" x14ac:dyDescent="0.25">
      <c r="A4" s="70"/>
      <c r="B4" s="72"/>
      <c r="C4" s="72"/>
      <c r="D4" s="72"/>
      <c r="E4" s="72"/>
      <c r="F4" s="72"/>
      <c r="G4" s="71"/>
    </row>
    <row r="5" spans="1:7" x14ac:dyDescent="0.25">
      <c r="A5" s="73"/>
      <c r="B5" s="74"/>
      <c r="C5" s="74"/>
      <c r="D5" s="74"/>
      <c r="E5" s="74"/>
      <c r="F5" s="74"/>
      <c r="G5" s="75"/>
    </row>
    <row r="6" spans="1:7" x14ac:dyDescent="0.25">
      <c r="A6" s="1" t="s">
        <v>16</v>
      </c>
      <c r="B6" s="2"/>
      <c r="C6" s="2"/>
      <c r="D6" s="2"/>
      <c r="E6" s="2"/>
      <c r="F6" s="2"/>
      <c r="G6" s="3"/>
    </row>
    <row r="7" spans="1:7" x14ac:dyDescent="0.25">
      <c r="A7" s="1"/>
      <c r="D7" s="2"/>
      <c r="E7" s="2"/>
      <c r="F7" s="2"/>
      <c r="G7" s="3"/>
    </row>
    <row r="8" spans="1:7" x14ac:dyDescent="0.25">
      <c r="A8" s="1"/>
      <c r="B8" s="65" t="s">
        <v>17</v>
      </c>
      <c r="C8" s="66" t="s">
        <v>22</v>
      </c>
      <c r="D8" s="2"/>
      <c r="E8" s="2"/>
      <c r="F8" s="2"/>
      <c r="G8" s="3"/>
    </row>
    <row r="9" spans="1:7" x14ac:dyDescent="0.25">
      <c r="A9" s="1"/>
      <c r="B9" s="65" t="s">
        <v>20</v>
      </c>
      <c r="C9" s="66" t="s">
        <v>18</v>
      </c>
      <c r="D9" s="2"/>
      <c r="E9" s="2"/>
      <c r="F9" s="2"/>
      <c r="G9" s="3"/>
    </row>
    <row r="10" spans="1:7" x14ac:dyDescent="0.25">
      <c r="A10" s="1"/>
      <c r="B10" s="65" t="s">
        <v>21</v>
      </c>
      <c r="C10" s="66" t="s">
        <v>19</v>
      </c>
      <c r="D10" s="2"/>
      <c r="E10" s="2"/>
      <c r="F10" s="2"/>
      <c r="G10" s="3"/>
    </row>
    <row r="11" spans="1:7" ht="45" customHeight="1" x14ac:dyDescent="0.25">
      <c r="A11" s="96" t="s">
        <v>23</v>
      </c>
      <c r="B11" s="97"/>
      <c r="C11" s="97"/>
      <c r="D11" s="97"/>
      <c r="E11" s="97"/>
      <c r="F11" s="97"/>
      <c r="G11" s="98"/>
    </row>
    <row r="12" spans="1:7" ht="21" customHeight="1" x14ac:dyDescent="0.25">
      <c r="A12" s="1" t="s">
        <v>25</v>
      </c>
      <c r="B12" s="2"/>
      <c r="C12" s="2"/>
      <c r="D12" s="2"/>
      <c r="E12" s="2"/>
      <c r="F12" s="2"/>
      <c r="G12" s="3"/>
    </row>
    <row r="13" spans="1:7" x14ac:dyDescent="0.25">
      <c r="A13" s="1"/>
      <c r="B13" s="2"/>
      <c r="C13" s="2"/>
      <c r="D13" s="2"/>
      <c r="E13" s="2"/>
      <c r="F13" s="2"/>
      <c r="G13" s="3"/>
    </row>
    <row r="14" spans="1:7" x14ac:dyDescent="0.25">
      <c r="A14" s="91" t="s">
        <v>30</v>
      </c>
      <c r="B14" s="92"/>
      <c r="C14" s="92"/>
      <c r="D14" s="92"/>
      <c r="E14" s="92"/>
      <c r="F14" s="92"/>
      <c r="G14" s="93"/>
    </row>
    <row r="15" spans="1:7" x14ac:dyDescent="0.25">
      <c r="A15" s="99" t="s">
        <v>31</v>
      </c>
      <c r="B15" s="99"/>
      <c r="C15" s="99"/>
      <c r="D15" s="99"/>
      <c r="E15" s="99"/>
      <c r="F15" s="99"/>
      <c r="G15" s="100"/>
    </row>
    <row r="16" spans="1:7" x14ac:dyDescent="0.25">
      <c r="A16" s="101" t="s">
        <v>29</v>
      </c>
      <c r="B16" s="102"/>
      <c r="C16" s="102"/>
      <c r="D16" s="102"/>
      <c r="E16" s="102"/>
      <c r="F16" s="102"/>
      <c r="G16" s="103"/>
    </row>
    <row r="17" spans="1:7" x14ac:dyDescent="0.25">
      <c r="A17" s="85" t="s">
        <v>24</v>
      </c>
      <c r="B17" s="86"/>
      <c r="C17" s="86"/>
      <c r="D17" s="86"/>
      <c r="E17" s="86"/>
      <c r="F17" s="86"/>
      <c r="G17" s="87"/>
    </row>
    <row r="18" spans="1:7" x14ac:dyDescent="0.25">
      <c r="A18" s="88" t="s">
        <v>28</v>
      </c>
      <c r="B18" s="89"/>
      <c r="C18" s="89"/>
      <c r="D18" s="89"/>
      <c r="E18" s="89"/>
      <c r="F18" s="89"/>
      <c r="G18" s="90"/>
    </row>
    <row r="19" spans="1:7" ht="5.25" customHeight="1" x14ac:dyDescent="0.25">
      <c r="A19" s="1"/>
      <c r="B19" s="2"/>
      <c r="C19" s="2"/>
      <c r="D19" s="2"/>
      <c r="E19" s="2"/>
      <c r="F19" s="2"/>
      <c r="G19" s="3"/>
    </row>
    <row r="20" spans="1:7" ht="15.75" thickBot="1" x14ac:dyDescent="0.3">
      <c r="A20" s="4"/>
      <c r="B20" s="5"/>
      <c r="C20" s="5"/>
      <c r="D20" s="5"/>
      <c r="E20" s="5"/>
      <c r="F20" s="5"/>
      <c r="G20" s="6"/>
    </row>
    <row r="33" customFormat="1" hidden="1" x14ac:dyDescent="0.25"/>
    <row r="34" customFormat="1" hidden="1" x14ac:dyDescent="0.25"/>
    <row r="35" customFormat="1" hidden="1" x14ac:dyDescent="0.25"/>
    <row r="36" customFormat="1" hidden="1" x14ac:dyDescent="0.25"/>
    <row r="37" customFormat="1" hidden="1" x14ac:dyDescent="0.25"/>
    <row r="38" customFormat="1" hidden="1" x14ac:dyDescent="0.25"/>
    <row r="39" customFormat="1" hidden="1" x14ac:dyDescent="0.25"/>
    <row r="40" customFormat="1" hidden="1" x14ac:dyDescent="0.25"/>
    <row r="41" customFormat="1" hidden="1" x14ac:dyDescent="0.25"/>
    <row r="42" customFormat="1" hidden="1" x14ac:dyDescent="0.25"/>
    <row r="43" customFormat="1" hidden="1" x14ac:dyDescent="0.25"/>
    <row r="44" customFormat="1" hidden="1" x14ac:dyDescent="0.25"/>
    <row r="45" customFormat="1" hidden="1" x14ac:dyDescent="0.25"/>
    <row r="46" customFormat="1" hidden="1" x14ac:dyDescent="0.25"/>
    <row r="47" customFormat="1" hidden="1" x14ac:dyDescent="0.25"/>
    <row r="48" customFormat="1" hidden="1" x14ac:dyDescent="0.25"/>
    <row r="49" customFormat="1" hidden="1" x14ac:dyDescent="0.25"/>
    <row r="50" customFormat="1" hidden="1" x14ac:dyDescent="0.25"/>
    <row r="51" customFormat="1" hidden="1" x14ac:dyDescent="0.25"/>
    <row r="52" customFormat="1" hidden="1" x14ac:dyDescent="0.25"/>
    <row r="53" customFormat="1" hidden="1" x14ac:dyDescent="0.25"/>
    <row r="54" customFormat="1" hidden="1" x14ac:dyDescent="0.25"/>
    <row r="55" customFormat="1" hidden="1" x14ac:dyDescent="0.25"/>
    <row r="56" customFormat="1" hidden="1" x14ac:dyDescent="0.25"/>
    <row r="57" customFormat="1" hidden="1" x14ac:dyDescent="0.25"/>
    <row r="58" customFormat="1" hidden="1" x14ac:dyDescent="0.25"/>
    <row r="59" customFormat="1" hidden="1" x14ac:dyDescent="0.25"/>
    <row r="60" customFormat="1" hidden="1" x14ac:dyDescent="0.25"/>
    <row r="61" customFormat="1" hidden="1" x14ac:dyDescent="0.25"/>
    <row r="62" customFormat="1" hidden="1" x14ac:dyDescent="0.25"/>
  </sheetData>
  <sheetProtection sheet="1" objects="1" scenarios="1" selectLockedCells="1" selectUnlockedCells="1"/>
  <mergeCells count="8">
    <mergeCell ref="A17:G17"/>
    <mergeCell ref="A18:G18"/>
    <mergeCell ref="A14:G14"/>
    <mergeCell ref="B2:F2"/>
    <mergeCell ref="B3:F3"/>
    <mergeCell ref="A11:G11"/>
    <mergeCell ref="A15:G15"/>
    <mergeCell ref="A16:G16"/>
  </mergeCells>
  <hyperlinks>
    <hyperlink ref="A17" r:id="rId1" xr:uid="{5B2692C8-2FA0-499E-ADB6-8CD2B7A9644C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B6C38-B349-4D99-BF9E-7DF12167CEC1}">
  <sheetPr codeName="Hoja1"/>
  <dimension ref="A1:AM24"/>
  <sheetViews>
    <sheetView showGridLines="0" showRowColHeaders="0" zoomScale="90" zoomScaleNormal="90" workbookViewId="0">
      <selection activeCell="B2" sqref="B2"/>
    </sheetView>
  </sheetViews>
  <sheetFormatPr baseColWidth="10" defaultColWidth="0" defaultRowHeight="15" zeroHeight="1" outlineLevelCol="1" x14ac:dyDescent="0.25"/>
  <cols>
    <col min="1" max="1" width="3" customWidth="1"/>
    <col min="2" max="17" width="2.85546875" customWidth="1"/>
    <col min="18" max="18" width="5" customWidth="1"/>
    <col min="19" max="34" width="2.85546875" customWidth="1"/>
    <col min="35" max="35" width="2.5703125" customWidth="1"/>
    <col min="36" max="36" width="13.140625" hidden="1" customWidth="1" outlineLevel="1"/>
    <col min="37" max="37" width="11.85546875" hidden="1" customWidth="1" outlineLevel="1"/>
    <col min="38" max="38" width="23" hidden="1" customWidth="1" outlineLevel="1"/>
    <col min="39" max="39" width="3.140625" customWidth="1" collapsed="1"/>
    <col min="40" max="16384" width="11.42578125" hidden="1"/>
  </cols>
  <sheetData>
    <row r="1" spans="1:38" ht="15.75" thickBot="1" x14ac:dyDescent="0.3">
      <c r="A1" s="23"/>
      <c r="B1" s="23">
        <v>1</v>
      </c>
      <c r="C1" s="23">
        <v>2</v>
      </c>
      <c r="D1" s="23">
        <v>3</v>
      </c>
      <c r="E1" s="23">
        <v>4</v>
      </c>
      <c r="F1" s="23">
        <v>5</v>
      </c>
      <c r="G1" s="23">
        <v>6</v>
      </c>
      <c r="H1" s="23">
        <v>7</v>
      </c>
      <c r="I1" s="23">
        <v>8</v>
      </c>
      <c r="J1" s="23">
        <v>9</v>
      </c>
      <c r="K1" s="23">
        <v>10</v>
      </c>
      <c r="L1" s="23">
        <v>11</v>
      </c>
      <c r="M1" s="23">
        <v>12</v>
      </c>
      <c r="N1" s="23">
        <v>13</v>
      </c>
      <c r="O1" s="23">
        <v>14</v>
      </c>
      <c r="P1" s="23">
        <v>15</v>
      </c>
      <c r="Q1" s="23">
        <v>16</v>
      </c>
      <c r="R1" s="23"/>
      <c r="S1" s="23">
        <v>1</v>
      </c>
      <c r="T1" s="23">
        <v>2</v>
      </c>
      <c r="U1" s="23">
        <v>3</v>
      </c>
      <c r="V1" s="23">
        <v>4</v>
      </c>
      <c r="W1" s="23">
        <v>5</v>
      </c>
      <c r="X1" s="23">
        <v>6</v>
      </c>
      <c r="Y1" s="23">
        <v>7</v>
      </c>
      <c r="Z1" s="23">
        <v>8</v>
      </c>
      <c r="AA1" s="23">
        <v>9</v>
      </c>
      <c r="AB1" s="23">
        <v>10</v>
      </c>
      <c r="AC1" s="23">
        <v>11</v>
      </c>
      <c r="AD1" s="23">
        <v>12</v>
      </c>
      <c r="AE1" s="23">
        <v>13</v>
      </c>
      <c r="AF1" s="23">
        <v>14</v>
      </c>
      <c r="AG1" s="23">
        <v>15</v>
      </c>
      <c r="AH1" s="23">
        <v>16</v>
      </c>
      <c r="AJ1" s="104" t="s">
        <v>0</v>
      </c>
      <c r="AK1" s="104"/>
      <c r="AL1" s="47" t="s">
        <v>2</v>
      </c>
    </row>
    <row r="2" spans="1:38" x14ac:dyDescent="0.25">
      <c r="A2" s="23">
        <v>1</v>
      </c>
      <c r="B2" s="24">
        <v>0</v>
      </c>
      <c r="C2" s="25">
        <v>0</v>
      </c>
      <c r="D2" s="25">
        <v>0</v>
      </c>
      <c r="E2" s="25">
        <v>0</v>
      </c>
      <c r="F2" s="25">
        <v>0</v>
      </c>
      <c r="G2" s="25">
        <v>0</v>
      </c>
      <c r="H2" s="25">
        <v>0</v>
      </c>
      <c r="I2" s="25">
        <v>0</v>
      </c>
      <c r="J2" s="57">
        <v>0</v>
      </c>
      <c r="K2" s="25">
        <v>0</v>
      </c>
      <c r="L2" s="25">
        <v>0</v>
      </c>
      <c r="M2" s="25">
        <v>0</v>
      </c>
      <c r="N2" s="25">
        <v>0</v>
      </c>
      <c r="O2" s="25">
        <v>0</v>
      </c>
      <c r="P2" s="25">
        <v>0</v>
      </c>
      <c r="Q2" s="34">
        <v>0</v>
      </c>
      <c r="R2" s="23">
        <v>1</v>
      </c>
      <c r="S2" s="38">
        <f>B2</f>
        <v>0</v>
      </c>
      <c r="T2" s="39">
        <f t="shared" ref="T2:AH2" si="0">C2</f>
        <v>0</v>
      </c>
      <c r="U2" s="39">
        <f t="shared" si="0"/>
        <v>0</v>
      </c>
      <c r="V2" s="39">
        <f t="shared" si="0"/>
        <v>0</v>
      </c>
      <c r="W2" s="39">
        <f t="shared" si="0"/>
        <v>0</v>
      </c>
      <c r="X2" s="39">
        <f t="shared" si="0"/>
        <v>0</v>
      </c>
      <c r="Y2" s="39">
        <f t="shared" si="0"/>
        <v>0</v>
      </c>
      <c r="Z2" s="39">
        <f>I2</f>
        <v>0</v>
      </c>
      <c r="AA2" s="39">
        <f t="shared" si="0"/>
        <v>0</v>
      </c>
      <c r="AB2" s="39">
        <f t="shared" si="0"/>
        <v>0</v>
      </c>
      <c r="AC2" s="39">
        <f t="shared" si="0"/>
        <v>0</v>
      </c>
      <c r="AD2" s="39">
        <f t="shared" si="0"/>
        <v>0</v>
      </c>
      <c r="AE2" s="39">
        <f t="shared" si="0"/>
        <v>0</v>
      </c>
      <c r="AF2" s="39">
        <f t="shared" si="0"/>
        <v>0</v>
      </c>
      <c r="AG2" s="39">
        <f t="shared" si="0"/>
        <v>0</v>
      </c>
      <c r="AH2" s="40">
        <f t="shared" si="0"/>
        <v>0</v>
      </c>
      <c r="AJ2" s="28" t="str">
        <f>"0b" &amp; _xlfn.CONCAT(B2:I2)</f>
        <v>0b00000000</v>
      </c>
      <c r="AK2" s="29" t="str">
        <f>"0b" &amp; _xlfn.CONCAT(J2:Q2)</f>
        <v>0b00000000</v>
      </c>
      <c r="AL2" s="48" t="str">
        <f>_xlfn.CONCAT(B2:I2) &amp; _xlfn.CONCAT(J2:Q2)</f>
        <v>0000000000000000</v>
      </c>
    </row>
    <row r="3" spans="1:38" x14ac:dyDescent="0.25">
      <c r="A3" s="23">
        <v>2</v>
      </c>
      <c r="B3" s="27">
        <v>0</v>
      </c>
      <c r="C3" s="22">
        <v>0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  <c r="I3" s="22">
        <v>0</v>
      </c>
      <c r="J3" s="58">
        <v>0</v>
      </c>
      <c r="K3" s="22">
        <v>0</v>
      </c>
      <c r="L3" s="22">
        <v>0</v>
      </c>
      <c r="M3" s="22">
        <v>0</v>
      </c>
      <c r="N3" s="22">
        <v>0</v>
      </c>
      <c r="O3" s="22">
        <v>0</v>
      </c>
      <c r="P3" s="22">
        <v>0</v>
      </c>
      <c r="Q3" s="26">
        <v>0</v>
      </c>
      <c r="R3" s="23">
        <v>2</v>
      </c>
      <c r="S3" s="41">
        <f t="shared" ref="S3:S17" si="1">B3</f>
        <v>0</v>
      </c>
      <c r="T3" s="42">
        <f t="shared" ref="T3:T17" si="2">C3</f>
        <v>0</v>
      </c>
      <c r="U3" s="42">
        <f t="shared" ref="U3:U17" si="3">D3</f>
        <v>0</v>
      </c>
      <c r="V3" s="42">
        <f t="shared" ref="V3:V17" si="4">E3</f>
        <v>0</v>
      </c>
      <c r="W3" s="42">
        <f t="shared" ref="W3:W17" si="5">F3</f>
        <v>0</v>
      </c>
      <c r="X3" s="42">
        <f t="shared" ref="X3:X17" si="6">G3</f>
        <v>0</v>
      </c>
      <c r="Y3" s="42">
        <f t="shared" ref="Y3:Y17" si="7">H3</f>
        <v>0</v>
      </c>
      <c r="Z3" s="42">
        <f>I3</f>
        <v>0</v>
      </c>
      <c r="AA3" s="42">
        <f t="shared" ref="AA3:AA17" si="8">J3</f>
        <v>0</v>
      </c>
      <c r="AB3" s="42">
        <f t="shared" ref="AB3:AB17" si="9">K3</f>
        <v>0</v>
      </c>
      <c r="AC3" s="42">
        <f t="shared" ref="AC3:AC17" si="10">L3</f>
        <v>0</v>
      </c>
      <c r="AD3" s="42">
        <f t="shared" ref="AD3:AD17" si="11">M3</f>
        <v>0</v>
      </c>
      <c r="AE3" s="42">
        <f t="shared" ref="AE3:AE17" si="12">N3</f>
        <v>0</v>
      </c>
      <c r="AF3" s="42">
        <f t="shared" ref="AF3:AF17" si="13">O3</f>
        <v>0</v>
      </c>
      <c r="AG3" s="42">
        <f t="shared" ref="AG3:AG17" si="14">P3</f>
        <v>0</v>
      </c>
      <c r="AH3" s="43">
        <f t="shared" ref="AH3:AH17" si="15">Q3</f>
        <v>0</v>
      </c>
      <c r="AJ3" s="30" t="str">
        <f t="shared" ref="AJ3:AJ17" si="16">"0b" &amp; _xlfn.CONCAT(B3:I3)</f>
        <v>0b00000000</v>
      </c>
      <c r="AK3" s="31" t="str">
        <f t="shared" ref="AK3:AK17" si="17">"0b" &amp; _xlfn.CONCAT(J3:Q3)</f>
        <v>0b00000000</v>
      </c>
      <c r="AL3" s="49" t="str">
        <f t="shared" ref="AL3:AL17" si="18">_xlfn.CONCAT(B3:I3) &amp; _xlfn.CONCAT(J3:Q3)</f>
        <v>0000000000000000</v>
      </c>
    </row>
    <row r="4" spans="1:38" x14ac:dyDescent="0.25">
      <c r="A4" s="23">
        <v>3</v>
      </c>
      <c r="B4" s="27">
        <v>0</v>
      </c>
      <c r="C4" s="22">
        <v>0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  <c r="I4" s="22">
        <v>0</v>
      </c>
      <c r="J4" s="58">
        <v>0</v>
      </c>
      <c r="K4" s="22">
        <v>0</v>
      </c>
      <c r="L4" s="22">
        <v>0</v>
      </c>
      <c r="M4" s="22">
        <v>0</v>
      </c>
      <c r="N4" s="22">
        <v>0</v>
      </c>
      <c r="O4" s="22">
        <v>0</v>
      </c>
      <c r="P4" s="22">
        <v>0</v>
      </c>
      <c r="Q4" s="26">
        <v>0</v>
      </c>
      <c r="R4" s="23">
        <v>3</v>
      </c>
      <c r="S4" s="41">
        <f t="shared" si="1"/>
        <v>0</v>
      </c>
      <c r="T4" s="42">
        <f t="shared" si="2"/>
        <v>0</v>
      </c>
      <c r="U4" s="42">
        <f t="shared" si="3"/>
        <v>0</v>
      </c>
      <c r="V4" s="42">
        <f t="shared" si="4"/>
        <v>0</v>
      </c>
      <c r="W4" s="42">
        <f t="shared" si="5"/>
        <v>0</v>
      </c>
      <c r="X4" s="42">
        <f t="shared" si="6"/>
        <v>0</v>
      </c>
      <c r="Y4" s="42">
        <f t="shared" si="7"/>
        <v>0</v>
      </c>
      <c r="Z4" s="42">
        <f>I4</f>
        <v>0</v>
      </c>
      <c r="AA4" s="42">
        <f>J4</f>
        <v>0</v>
      </c>
      <c r="AB4" s="42">
        <f t="shared" si="9"/>
        <v>0</v>
      </c>
      <c r="AC4" s="42">
        <f t="shared" si="10"/>
        <v>0</v>
      </c>
      <c r="AD4" s="42">
        <f t="shared" si="11"/>
        <v>0</v>
      </c>
      <c r="AE4" s="42">
        <f t="shared" si="12"/>
        <v>0</v>
      </c>
      <c r="AF4" s="42">
        <f t="shared" si="13"/>
        <v>0</v>
      </c>
      <c r="AG4" s="42">
        <f t="shared" si="14"/>
        <v>0</v>
      </c>
      <c r="AH4" s="43">
        <f t="shared" si="15"/>
        <v>0</v>
      </c>
      <c r="AJ4" s="30" t="str">
        <f t="shared" si="16"/>
        <v>0b00000000</v>
      </c>
      <c r="AK4" s="31" t="str">
        <f>"0b" &amp; _xlfn.CONCAT(J4:Q4)</f>
        <v>0b00000000</v>
      </c>
      <c r="AL4" s="49" t="str">
        <f>_xlfn.CONCAT(B4:I4) &amp; _xlfn.CONCAT(J4:Q4)</f>
        <v>0000000000000000</v>
      </c>
    </row>
    <row r="5" spans="1:38" x14ac:dyDescent="0.25">
      <c r="A5" s="23">
        <v>4</v>
      </c>
      <c r="B5" s="27">
        <v>0</v>
      </c>
      <c r="C5" s="22">
        <v>0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  <c r="I5" s="22">
        <v>0</v>
      </c>
      <c r="J5" s="58">
        <v>0</v>
      </c>
      <c r="K5" s="22">
        <v>0</v>
      </c>
      <c r="L5" s="22">
        <v>0</v>
      </c>
      <c r="M5" s="22">
        <v>0</v>
      </c>
      <c r="N5" s="22">
        <v>0</v>
      </c>
      <c r="O5" s="22">
        <v>0</v>
      </c>
      <c r="P5" s="22">
        <v>0</v>
      </c>
      <c r="Q5" s="26">
        <v>0</v>
      </c>
      <c r="R5" s="23">
        <v>4</v>
      </c>
      <c r="S5" s="41">
        <f t="shared" si="1"/>
        <v>0</v>
      </c>
      <c r="T5" s="42">
        <f t="shared" si="2"/>
        <v>0</v>
      </c>
      <c r="U5" s="42">
        <f t="shared" si="3"/>
        <v>0</v>
      </c>
      <c r="V5" s="42">
        <f t="shared" si="4"/>
        <v>0</v>
      </c>
      <c r="W5" s="42">
        <f t="shared" si="5"/>
        <v>0</v>
      </c>
      <c r="X5" s="42">
        <f t="shared" si="6"/>
        <v>0</v>
      </c>
      <c r="Y5" s="42">
        <f t="shared" si="7"/>
        <v>0</v>
      </c>
      <c r="Z5" s="42">
        <f>I5</f>
        <v>0</v>
      </c>
      <c r="AA5" s="42">
        <f>J5</f>
        <v>0</v>
      </c>
      <c r="AB5" s="42">
        <f t="shared" si="9"/>
        <v>0</v>
      </c>
      <c r="AC5" s="42">
        <f t="shared" si="10"/>
        <v>0</v>
      </c>
      <c r="AD5" s="42">
        <f t="shared" si="11"/>
        <v>0</v>
      </c>
      <c r="AE5" s="42">
        <f t="shared" si="12"/>
        <v>0</v>
      </c>
      <c r="AF5" s="42">
        <f t="shared" si="13"/>
        <v>0</v>
      </c>
      <c r="AG5" s="42">
        <f t="shared" si="14"/>
        <v>0</v>
      </c>
      <c r="AH5" s="43">
        <f t="shared" si="15"/>
        <v>0</v>
      </c>
      <c r="AJ5" s="30" t="str">
        <f t="shared" si="16"/>
        <v>0b00000000</v>
      </c>
      <c r="AK5" s="31" t="str">
        <f>"0b" &amp; _xlfn.CONCAT(J5:Q5)</f>
        <v>0b00000000</v>
      </c>
      <c r="AL5" s="49" t="str">
        <f>_xlfn.CONCAT(B5:I5) &amp; _xlfn.CONCAT(J5:Q5)</f>
        <v>0000000000000000</v>
      </c>
    </row>
    <row r="6" spans="1:38" x14ac:dyDescent="0.25">
      <c r="A6" s="23">
        <v>5</v>
      </c>
      <c r="B6" s="27">
        <v>0</v>
      </c>
      <c r="C6" s="22">
        <v>0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58">
        <v>0</v>
      </c>
      <c r="K6" s="22">
        <v>0</v>
      </c>
      <c r="L6" s="22">
        <v>0</v>
      </c>
      <c r="M6" s="22">
        <v>0</v>
      </c>
      <c r="N6" s="22">
        <v>0</v>
      </c>
      <c r="O6" s="22">
        <v>0</v>
      </c>
      <c r="P6" s="22">
        <v>0</v>
      </c>
      <c r="Q6" s="26">
        <v>0</v>
      </c>
      <c r="R6" s="23">
        <v>5</v>
      </c>
      <c r="S6" s="41">
        <f t="shared" si="1"/>
        <v>0</v>
      </c>
      <c r="T6" s="42">
        <f t="shared" si="2"/>
        <v>0</v>
      </c>
      <c r="U6" s="42">
        <f t="shared" si="3"/>
        <v>0</v>
      </c>
      <c r="V6" s="42">
        <f t="shared" si="4"/>
        <v>0</v>
      </c>
      <c r="W6" s="42">
        <f t="shared" si="5"/>
        <v>0</v>
      </c>
      <c r="X6" s="42">
        <f t="shared" si="6"/>
        <v>0</v>
      </c>
      <c r="Y6" s="42">
        <f t="shared" si="7"/>
        <v>0</v>
      </c>
      <c r="Z6" s="42">
        <f t="shared" ref="Z6:Z17" si="19">I6</f>
        <v>0</v>
      </c>
      <c r="AA6" s="42">
        <f>J6</f>
        <v>0</v>
      </c>
      <c r="AB6" s="42">
        <f t="shared" si="9"/>
        <v>0</v>
      </c>
      <c r="AC6" s="42">
        <f t="shared" si="10"/>
        <v>0</v>
      </c>
      <c r="AD6" s="42">
        <f t="shared" si="11"/>
        <v>0</v>
      </c>
      <c r="AE6" s="42">
        <f t="shared" si="12"/>
        <v>0</v>
      </c>
      <c r="AF6" s="42">
        <f t="shared" si="13"/>
        <v>0</v>
      </c>
      <c r="AG6" s="42">
        <f t="shared" si="14"/>
        <v>0</v>
      </c>
      <c r="AH6" s="43">
        <f t="shared" si="15"/>
        <v>0</v>
      </c>
      <c r="AJ6" s="30" t="str">
        <f t="shared" si="16"/>
        <v>0b00000000</v>
      </c>
      <c r="AK6" s="31" t="str">
        <f>"0b" &amp; _xlfn.CONCAT(J6:Q6)</f>
        <v>0b00000000</v>
      </c>
      <c r="AL6" s="49" t="str">
        <f>_xlfn.CONCAT(B6:I6) &amp; _xlfn.CONCAT(J6:Q6)</f>
        <v>0000000000000000</v>
      </c>
    </row>
    <row r="7" spans="1:38" x14ac:dyDescent="0.25">
      <c r="A7" s="23">
        <v>6</v>
      </c>
      <c r="B7" s="27">
        <v>0</v>
      </c>
      <c r="C7" s="22">
        <v>0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  <c r="I7" s="22">
        <v>0</v>
      </c>
      <c r="J7" s="58">
        <v>0</v>
      </c>
      <c r="K7" s="22">
        <v>0</v>
      </c>
      <c r="L7" s="22">
        <v>0</v>
      </c>
      <c r="M7" s="22">
        <v>0</v>
      </c>
      <c r="N7" s="22">
        <v>0</v>
      </c>
      <c r="O7" s="22">
        <v>0</v>
      </c>
      <c r="P7" s="22">
        <v>0</v>
      </c>
      <c r="Q7" s="26">
        <v>0</v>
      </c>
      <c r="R7" s="23">
        <v>6</v>
      </c>
      <c r="S7" s="41">
        <f t="shared" si="1"/>
        <v>0</v>
      </c>
      <c r="T7" s="42">
        <f t="shared" si="2"/>
        <v>0</v>
      </c>
      <c r="U7" s="42">
        <f t="shared" si="3"/>
        <v>0</v>
      </c>
      <c r="V7" s="42">
        <f t="shared" si="4"/>
        <v>0</v>
      </c>
      <c r="W7" s="42">
        <f t="shared" si="5"/>
        <v>0</v>
      </c>
      <c r="X7" s="42">
        <f t="shared" si="6"/>
        <v>0</v>
      </c>
      <c r="Y7" s="42">
        <f t="shared" si="7"/>
        <v>0</v>
      </c>
      <c r="Z7" s="42">
        <f t="shared" si="19"/>
        <v>0</v>
      </c>
      <c r="AA7" s="42">
        <f>J7</f>
        <v>0</v>
      </c>
      <c r="AB7" s="42">
        <f t="shared" si="9"/>
        <v>0</v>
      </c>
      <c r="AC7" s="42">
        <f t="shared" si="10"/>
        <v>0</v>
      </c>
      <c r="AD7" s="42">
        <f t="shared" si="11"/>
        <v>0</v>
      </c>
      <c r="AE7" s="42">
        <f t="shared" si="12"/>
        <v>0</v>
      </c>
      <c r="AF7" s="42">
        <f t="shared" si="13"/>
        <v>0</v>
      </c>
      <c r="AG7" s="42">
        <f t="shared" si="14"/>
        <v>0</v>
      </c>
      <c r="AH7" s="43">
        <f t="shared" si="15"/>
        <v>0</v>
      </c>
      <c r="AJ7" s="30" t="str">
        <f t="shared" si="16"/>
        <v>0b00000000</v>
      </c>
      <c r="AK7" s="31" t="str">
        <f>"0b" &amp; _xlfn.CONCAT(J7:Q7)</f>
        <v>0b00000000</v>
      </c>
      <c r="AL7" s="49" t="str">
        <f>_xlfn.CONCAT(B7:I7) &amp; _xlfn.CONCAT(J7:Q7)</f>
        <v>0000000000000000</v>
      </c>
    </row>
    <row r="8" spans="1:38" x14ac:dyDescent="0.25">
      <c r="A8" s="23">
        <v>7</v>
      </c>
      <c r="B8" s="27">
        <v>0</v>
      </c>
      <c r="C8" s="22">
        <v>0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  <c r="I8" s="22">
        <v>0</v>
      </c>
      <c r="J8" s="58">
        <v>0</v>
      </c>
      <c r="K8" s="22">
        <v>0</v>
      </c>
      <c r="L8" s="22">
        <v>0</v>
      </c>
      <c r="M8" s="22">
        <v>0</v>
      </c>
      <c r="N8" s="22">
        <v>0</v>
      </c>
      <c r="O8" s="22">
        <v>0</v>
      </c>
      <c r="P8" s="22">
        <v>0</v>
      </c>
      <c r="Q8" s="26">
        <v>0</v>
      </c>
      <c r="R8" s="23">
        <v>7</v>
      </c>
      <c r="S8" s="41">
        <f t="shared" si="1"/>
        <v>0</v>
      </c>
      <c r="T8" s="42">
        <f t="shared" si="2"/>
        <v>0</v>
      </c>
      <c r="U8" s="42">
        <f t="shared" si="3"/>
        <v>0</v>
      </c>
      <c r="V8" s="42">
        <f t="shared" si="4"/>
        <v>0</v>
      </c>
      <c r="W8" s="42">
        <f t="shared" si="5"/>
        <v>0</v>
      </c>
      <c r="X8" s="42">
        <f t="shared" si="6"/>
        <v>0</v>
      </c>
      <c r="Y8" s="42">
        <f t="shared" si="7"/>
        <v>0</v>
      </c>
      <c r="Z8" s="42">
        <f t="shared" si="19"/>
        <v>0</v>
      </c>
      <c r="AA8" s="42">
        <f t="shared" si="8"/>
        <v>0</v>
      </c>
      <c r="AB8" s="42">
        <f t="shared" si="9"/>
        <v>0</v>
      </c>
      <c r="AC8" s="42">
        <f t="shared" si="10"/>
        <v>0</v>
      </c>
      <c r="AD8" s="42">
        <f t="shared" si="11"/>
        <v>0</v>
      </c>
      <c r="AE8" s="42">
        <f t="shared" si="12"/>
        <v>0</v>
      </c>
      <c r="AF8" s="42">
        <f t="shared" si="13"/>
        <v>0</v>
      </c>
      <c r="AG8" s="42">
        <f t="shared" si="14"/>
        <v>0</v>
      </c>
      <c r="AH8" s="43">
        <f t="shared" si="15"/>
        <v>0</v>
      </c>
      <c r="AJ8" s="30" t="str">
        <f t="shared" si="16"/>
        <v>0b00000000</v>
      </c>
      <c r="AK8" s="31" t="str">
        <f t="shared" si="17"/>
        <v>0b00000000</v>
      </c>
      <c r="AL8" s="49" t="str">
        <f t="shared" si="18"/>
        <v>0000000000000000</v>
      </c>
    </row>
    <row r="9" spans="1:38" x14ac:dyDescent="0.25">
      <c r="A9" s="23">
        <v>8</v>
      </c>
      <c r="B9" s="60">
        <v>0</v>
      </c>
      <c r="C9" s="61">
        <v>0</v>
      </c>
      <c r="D9" s="61">
        <v>0</v>
      </c>
      <c r="E9" s="61">
        <v>0</v>
      </c>
      <c r="F9" s="61">
        <v>0</v>
      </c>
      <c r="G9" s="61">
        <v>0</v>
      </c>
      <c r="H9" s="61">
        <v>0</v>
      </c>
      <c r="I9" s="61">
        <v>0</v>
      </c>
      <c r="J9" s="62">
        <v>0</v>
      </c>
      <c r="K9" s="61">
        <v>0</v>
      </c>
      <c r="L9" s="61">
        <v>0</v>
      </c>
      <c r="M9" s="61">
        <v>0</v>
      </c>
      <c r="N9" s="61">
        <v>0</v>
      </c>
      <c r="O9" s="61">
        <v>0</v>
      </c>
      <c r="P9" s="61">
        <v>0</v>
      </c>
      <c r="Q9" s="63">
        <v>0</v>
      </c>
      <c r="R9" s="23">
        <v>8</v>
      </c>
      <c r="S9" s="41">
        <f t="shared" si="1"/>
        <v>0</v>
      </c>
      <c r="T9" s="42">
        <f t="shared" si="2"/>
        <v>0</v>
      </c>
      <c r="U9" s="42">
        <f t="shared" si="3"/>
        <v>0</v>
      </c>
      <c r="V9" s="42">
        <f t="shared" si="4"/>
        <v>0</v>
      </c>
      <c r="W9" s="42">
        <f t="shared" si="5"/>
        <v>0</v>
      </c>
      <c r="X9" s="42">
        <f t="shared" si="6"/>
        <v>0</v>
      </c>
      <c r="Y9" s="42">
        <f t="shared" si="7"/>
        <v>0</v>
      </c>
      <c r="Z9" s="42">
        <f t="shared" si="19"/>
        <v>0</v>
      </c>
      <c r="AA9" s="42">
        <f t="shared" si="8"/>
        <v>0</v>
      </c>
      <c r="AB9" s="42">
        <f t="shared" si="9"/>
        <v>0</v>
      </c>
      <c r="AC9" s="42">
        <f t="shared" si="10"/>
        <v>0</v>
      </c>
      <c r="AD9" s="42">
        <f t="shared" si="11"/>
        <v>0</v>
      </c>
      <c r="AE9" s="42">
        <f t="shared" si="12"/>
        <v>0</v>
      </c>
      <c r="AF9" s="42">
        <f t="shared" si="13"/>
        <v>0</v>
      </c>
      <c r="AG9" s="42">
        <f t="shared" si="14"/>
        <v>0</v>
      </c>
      <c r="AH9" s="43">
        <f t="shared" si="15"/>
        <v>0</v>
      </c>
      <c r="AJ9" s="30" t="str">
        <f t="shared" si="16"/>
        <v>0b00000000</v>
      </c>
      <c r="AK9" s="31" t="str">
        <f t="shared" si="17"/>
        <v>0b00000000</v>
      </c>
      <c r="AL9" s="49" t="str">
        <f t="shared" si="18"/>
        <v>0000000000000000</v>
      </c>
    </row>
    <row r="10" spans="1:38" x14ac:dyDescent="0.25">
      <c r="A10" s="23">
        <v>9</v>
      </c>
      <c r="B10" s="27">
        <v>0</v>
      </c>
      <c r="C10" s="22">
        <v>0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58">
        <v>0</v>
      </c>
      <c r="K10" s="22">
        <v>0</v>
      </c>
      <c r="L10" s="22">
        <v>0</v>
      </c>
      <c r="M10" s="22">
        <v>0</v>
      </c>
      <c r="N10" s="22">
        <v>0</v>
      </c>
      <c r="O10" s="22">
        <v>0</v>
      </c>
      <c r="P10" s="22">
        <v>0</v>
      </c>
      <c r="Q10" s="26">
        <v>0</v>
      </c>
      <c r="R10" s="23">
        <v>9</v>
      </c>
      <c r="S10" s="41">
        <f t="shared" si="1"/>
        <v>0</v>
      </c>
      <c r="T10" s="42">
        <f t="shared" si="2"/>
        <v>0</v>
      </c>
      <c r="U10" s="42">
        <f t="shared" si="3"/>
        <v>0</v>
      </c>
      <c r="V10" s="42">
        <f t="shared" si="4"/>
        <v>0</v>
      </c>
      <c r="W10" s="42">
        <f t="shared" si="5"/>
        <v>0</v>
      </c>
      <c r="X10" s="42">
        <f t="shared" si="6"/>
        <v>0</v>
      </c>
      <c r="Y10" s="42">
        <f t="shared" si="7"/>
        <v>0</v>
      </c>
      <c r="Z10" s="42">
        <f t="shared" si="19"/>
        <v>0</v>
      </c>
      <c r="AA10" s="42">
        <f t="shared" si="8"/>
        <v>0</v>
      </c>
      <c r="AB10" s="42">
        <f t="shared" si="9"/>
        <v>0</v>
      </c>
      <c r="AC10" s="42">
        <f t="shared" si="10"/>
        <v>0</v>
      </c>
      <c r="AD10" s="42">
        <f t="shared" si="11"/>
        <v>0</v>
      </c>
      <c r="AE10" s="42">
        <f t="shared" si="12"/>
        <v>0</v>
      </c>
      <c r="AF10" s="42">
        <f t="shared" si="13"/>
        <v>0</v>
      </c>
      <c r="AG10" s="42">
        <f t="shared" si="14"/>
        <v>0</v>
      </c>
      <c r="AH10" s="43">
        <f t="shared" si="15"/>
        <v>0</v>
      </c>
      <c r="AJ10" s="30" t="str">
        <f t="shared" si="16"/>
        <v>0b00000000</v>
      </c>
      <c r="AK10" s="31" t="str">
        <f t="shared" si="17"/>
        <v>0b00000000</v>
      </c>
      <c r="AL10" s="49" t="str">
        <f t="shared" si="18"/>
        <v>0000000000000000</v>
      </c>
    </row>
    <row r="11" spans="1:38" x14ac:dyDescent="0.25">
      <c r="A11" s="23">
        <v>10</v>
      </c>
      <c r="B11" s="27">
        <v>0</v>
      </c>
      <c r="C11" s="22">
        <v>0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58">
        <v>0</v>
      </c>
      <c r="K11" s="22">
        <v>0</v>
      </c>
      <c r="L11" s="22">
        <v>0</v>
      </c>
      <c r="M11" s="22">
        <v>0</v>
      </c>
      <c r="N11" s="22">
        <v>0</v>
      </c>
      <c r="O11" s="22">
        <v>0</v>
      </c>
      <c r="P11" s="22">
        <v>0</v>
      </c>
      <c r="Q11" s="26">
        <v>0</v>
      </c>
      <c r="R11" s="23">
        <v>10</v>
      </c>
      <c r="S11" s="41">
        <f t="shared" si="1"/>
        <v>0</v>
      </c>
      <c r="T11" s="42">
        <f t="shared" si="2"/>
        <v>0</v>
      </c>
      <c r="U11" s="42">
        <f t="shared" si="3"/>
        <v>0</v>
      </c>
      <c r="V11" s="42">
        <f t="shared" si="4"/>
        <v>0</v>
      </c>
      <c r="W11" s="42">
        <f t="shared" si="5"/>
        <v>0</v>
      </c>
      <c r="X11" s="42">
        <f t="shared" si="6"/>
        <v>0</v>
      </c>
      <c r="Y11" s="42">
        <f t="shared" si="7"/>
        <v>0</v>
      </c>
      <c r="Z11" s="42">
        <f t="shared" si="19"/>
        <v>0</v>
      </c>
      <c r="AA11" s="42">
        <f t="shared" si="8"/>
        <v>0</v>
      </c>
      <c r="AB11" s="42">
        <f t="shared" si="9"/>
        <v>0</v>
      </c>
      <c r="AC11" s="42">
        <f t="shared" si="10"/>
        <v>0</v>
      </c>
      <c r="AD11" s="42">
        <f t="shared" si="11"/>
        <v>0</v>
      </c>
      <c r="AE11" s="42">
        <f t="shared" si="12"/>
        <v>0</v>
      </c>
      <c r="AF11" s="42">
        <f t="shared" si="13"/>
        <v>0</v>
      </c>
      <c r="AG11" s="42">
        <f t="shared" si="14"/>
        <v>0</v>
      </c>
      <c r="AH11" s="43">
        <f t="shared" si="15"/>
        <v>0</v>
      </c>
      <c r="AJ11" s="30" t="str">
        <f t="shared" si="16"/>
        <v>0b00000000</v>
      </c>
      <c r="AK11" s="31" t="str">
        <f t="shared" si="17"/>
        <v>0b00000000</v>
      </c>
      <c r="AL11" s="49" t="str">
        <f t="shared" si="18"/>
        <v>0000000000000000</v>
      </c>
    </row>
    <row r="12" spans="1:38" x14ac:dyDescent="0.25">
      <c r="A12" s="23">
        <v>11</v>
      </c>
      <c r="B12" s="27">
        <v>0</v>
      </c>
      <c r="C12" s="22">
        <v>0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58">
        <v>0</v>
      </c>
      <c r="K12" s="22">
        <v>0</v>
      </c>
      <c r="L12" s="22">
        <v>0</v>
      </c>
      <c r="M12" s="22">
        <v>0</v>
      </c>
      <c r="N12" s="22">
        <v>0</v>
      </c>
      <c r="O12" s="22">
        <v>0</v>
      </c>
      <c r="P12" s="22">
        <v>0</v>
      </c>
      <c r="Q12" s="26">
        <v>0</v>
      </c>
      <c r="R12" s="23">
        <v>11</v>
      </c>
      <c r="S12" s="41">
        <f t="shared" si="1"/>
        <v>0</v>
      </c>
      <c r="T12" s="42">
        <f t="shared" si="2"/>
        <v>0</v>
      </c>
      <c r="U12" s="42">
        <f t="shared" si="3"/>
        <v>0</v>
      </c>
      <c r="V12" s="42">
        <f t="shared" si="4"/>
        <v>0</v>
      </c>
      <c r="W12" s="42">
        <f t="shared" si="5"/>
        <v>0</v>
      </c>
      <c r="X12" s="42">
        <f t="shared" si="6"/>
        <v>0</v>
      </c>
      <c r="Y12" s="42">
        <f t="shared" si="7"/>
        <v>0</v>
      </c>
      <c r="Z12" s="42">
        <f t="shared" si="19"/>
        <v>0</v>
      </c>
      <c r="AA12" s="42">
        <f t="shared" si="8"/>
        <v>0</v>
      </c>
      <c r="AB12" s="42">
        <f t="shared" si="9"/>
        <v>0</v>
      </c>
      <c r="AC12" s="42">
        <f t="shared" si="10"/>
        <v>0</v>
      </c>
      <c r="AD12" s="42">
        <f t="shared" si="11"/>
        <v>0</v>
      </c>
      <c r="AE12" s="42">
        <f t="shared" si="12"/>
        <v>0</v>
      </c>
      <c r="AF12" s="42">
        <f t="shared" si="13"/>
        <v>0</v>
      </c>
      <c r="AG12" s="42">
        <f t="shared" si="14"/>
        <v>0</v>
      </c>
      <c r="AH12" s="43">
        <f t="shared" si="15"/>
        <v>0</v>
      </c>
      <c r="AJ12" s="30" t="str">
        <f t="shared" si="16"/>
        <v>0b00000000</v>
      </c>
      <c r="AK12" s="31" t="str">
        <f t="shared" si="17"/>
        <v>0b00000000</v>
      </c>
      <c r="AL12" s="49" t="str">
        <f t="shared" si="18"/>
        <v>0000000000000000</v>
      </c>
    </row>
    <row r="13" spans="1:38" x14ac:dyDescent="0.25">
      <c r="A13" s="23">
        <v>12</v>
      </c>
      <c r="B13" s="27">
        <v>0</v>
      </c>
      <c r="C13" s="22">
        <v>0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58">
        <v>0</v>
      </c>
      <c r="K13" s="22">
        <v>0</v>
      </c>
      <c r="L13" s="22">
        <v>0</v>
      </c>
      <c r="M13" s="22">
        <v>0</v>
      </c>
      <c r="N13" s="22">
        <v>0</v>
      </c>
      <c r="O13" s="22">
        <v>0</v>
      </c>
      <c r="P13" s="22">
        <v>0</v>
      </c>
      <c r="Q13" s="26">
        <v>0</v>
      </c>
      <c r="R13" s="23">
        <v>12</v>
      </c>
      <c r="S13" s="41">
        <f t="shared" si="1"/>
        <v>0</v>
      </c>
      <c r="T13" s="42">
        <f t="shared" si="2"/>
        <v>0</v>
      </c>
      <c r="U13" s="42">
        <f t="shared" si="3"/>
        <v>0</v>
      </c>
      <c r="V13" s="42">
        <f t="shared" si="4"/>
        <v>0</v>
      </c>
      <c r="W13" s="42">
        <f t="shared" si="5"/>
        <v>0</v>
      </c>
      <c r="X13" s="42">
        <f t="shared" si="6"/>
        <v>0</v>
      </c>
      <c r="Y13" s="42">
        <f t="shared" si="7"/>
        <v>0</v>
      </c>
      <c r="Z13" s="42">
        <f t="shared" si="19"/>
        <v>0</v>
      </c>
      <c r="AA13" s="42">
        <f t="shared" si="8"/>
        <v>0</v>
      </c>
      <c r="AB13" s="42">
        <f t="shared" si="9"/>
        <v>0</v>
      </c>
      <c r="AC13" s="42">
        <f t="shared" si="10"/>
        <v>0</v>
      </c>
      <c r="AD13" s="42">
        <f t="shared" si="11"/>
        <v>0</v>
      </c>
      <c r="AE13" s="42">
        <f t="shared" si="12"/>
        <v>0</v>
      </c>
      <c r="AF13" s="42">
        <f t="shared" si="13"/>
        <v>0</v>
      </c>
      <c r="AG13" s="42">
        <f t="shared" si="14"/>
        <v>0</v>
      </c>
      <c r="AH13" s="43">
        <f t="shared" si="15"/>
        <v>0</v>
      </c>
      <c r="AJ13" s="30" t="str">
        <f t="shared" si="16"/>
        <v>0b00000000</v>
      </c>
      <c r="AK13" s="31" t="str">
        <f t="shared" si="17"/>
        <v>0b00000000</v>
      </c>
      <c r="AL13" s="49" t="str">
        <f t="shared" si="18"/>
        <v>0000000000000000</v>
      </c>
    </row>
    <row r="14" spans="1:38" x14ac:dyDescent="0.25">
      <c r="A14" s="23">
        <v>13</v>
      </c>
      <c r="B14" s="27">
        <v>0</v>
      </c>
      <c r="C14" s="22">
        <v>0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58">
        <v>0</v>
      </c>
      <c r="K14" s="22">
        <v>0</v>
      </c>
      <c r="L14" s="22">
        <v>0</v>
      </c>
      <c r="M14" s="22">
        <v>0</v>
      </c>
      <c r="N14" s="22">
        <v>0</v>
      </c>
      <c r="O14" s="22">
        <v>0</v>
      </c>
      <c r="P14" s="22">
        <v>0</v>
      </c>
      <c r="Q14" s="26">
        <v>0</v>
      </c>
      <c r="R14" s="23">
        <v>13</v>
      </c>
      <c r="S14" s="41">
        <f t="shared" si="1"/>
        <v>0</v>
      </c>
      <c r="T14" s="42">
        <f t="shared" si="2"/>
        <v>0</v>
      </c>
      <c r="U14" s="42">
        <f t="shared" si="3"/>
        <v>0</v>
      </c>
      <c r="V14" s="42">
        <f t="shared" si="4"/>
        <v>0</v>
      </c>
      <c r="W14" s="42">
        <f t="shared" si="5"/>
        <v>0</v>
      </c>
      <c r="X14" s="42">
        <f t="shared" si="6"/>
        <v>0</v>
      </c>
      <c r="Y14" s="42">
        <f t="shared" si="7"/>
        <v>0</v>
      </c>
      <c r="Z14" s="42">
        <f t="shared" si="19"/>
        <v>0</v>
      </c>
      <c r="AA14" s="42">
        <f t="shared" si="8"/>
        <v>0</v>
      </c>
      <c r="AB14" s="42">
        <f t="shared" si="9"/>
        <v>0</v>
      </c>
      <c r="AC14" s="42">
        <f t="shared" si="10"/>
        <v>0</v>
      </c>
      <c r="AD14" s="42">
        <f t="shared" si="11"/>
        <v>0</v>
      </c>
      <c r="AE14" s="42">
        <f t="shared" si="12"/>
        <v>0</v>
      </c>
      <c r="AF14" s="42">
        <f t="shared" si="13"/>
        <v>0</v>
      </c>
      <c r="AG14" s="42">
        <f t="shared" si="14"/>
        <v>0</v>
      </c>
      <c r="AH14" s="43">
        <f t="shared" si="15"/>
        <v>0</v>
      </c>
      <c r="AJ14" s="30" t="str">
        <f t="shared" si="16"/>
        <v>0b00000000</v>
      </c>
      <c r="AK14" s="31" t="str">
        <f t="shared" si="17"/>
        <v>0b00000000</v>
      </c>
      <c r="AL14" s="49" t="str">
        <f t="shared" si="18"/>
        <v>0000000000000000</v>
      </c>
    </row>
    <row r="15" spans="1:38" x14ac:dyDescent="0.25">
      <c r="A15" s="23">
        <v>14</v>
      </c>
      <c r="B15" s="27">
        <v>0</v>
      </c>
      <c r="C15" s="22">
        <v>0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58">
        <v>0</v>
      </c>
      <c r="K15" s="22">
        <v>0</v>
      </c>
      <c r="L15" s="21">
        <v>0</v>
      </c>
      <c r="M15" s="22">
        <v>0</v>
      </c>
      <c r="N15" s="22">
        <v>0</v>
      </c>
      <c r="O15" s="22">
        <v>0</v>
      </c>
      <c r="P15" s="22">
        <v>0</v>
      </c>
      <c r="Q15" s="26">
        <v>0</v>
      </c>
      <c r="R15" s="23">
        <v>14</v>
      </c>
      <c r="S15" s="41">
        <f t="shared" si="1"/>
        <v>0</v>
      </c>
      <c r="T15" s="42">
        <f t="shared" si="2"/>
        <v>0</v>
      </c>
      <c r="U15" s="42">
        <f t="shared" si="3"/>
        <v>0</v>
      </c>
      <c r="V15" s="42">
        <f t="shared" si="4"/>
        <v>0</v>
      </c>
      <c r="W15" s="42">
        <f t="shared" si="5"/>
        <v>0</v>
      </c>
      <c r="X15" s="42">
        <f t="shared" si="6"/>
        <v>0</v>
      </c>
      <c r="Y15" s="42">
        <f t="shared" si="7"/>
        <v>0</v>
      </c>
      <c r="Z15" s="42">
        <f t="shared" si="19"/>
        <v>0</v>
      </c>
      <c r="AA15" s="42">
        <f t="shared" si="8"/>
        <v>0</v>
      </c>
      <c r="AB15" s="42">
        <f t="shared" si="9"/>
        <v>0</v>
      </c>
      <c r="AC15" s="42">
        <f t="shared" si="10"/>
        <v>0</v>
      </c>
      <c r="AD15" s="42">
        <f t="shared" si="11"/>
        <v>0</v>
      </c>
      <c r="AE15" s="42">
        <f t="shared" si="12"/>
        <v>0</v>
      </c>
      <c r="AF15" s="42">
        <f t="shared" si="13"/>
        <v>0</v>
      </c>
      <c r="AG15" s="42">
        <f t="shared" si="14"/>
        <v>0</v>
      </c>
      <c r="AH15" s="43">
        <f t="shared" si="15"/>
        <v>0</v>
      </c>
      <c r="AJ15" s="30" t="str">
        <f t="shared" si="16"/>
        <v>0b00000000</v>
      </c>
      <c r="AK15" s="31" t="str">
        <f t="shared" si="17"/>
        <v>0b00000000</v>
      </c>
      <c r="AL15" s="49" t="str">
        <f t="shared" si="18"/>
        <v>0000000000000000</v>
      </c>
    </row>
    <row r="16" spans="1:38" x14ac:dyDescent="0.25">
      <c r="A16" s="23">
        <v>15</v>
      </c>
      <c r="B16" s="27">
        <v>0</v>
      </c>
      <c r="C16" s="22">
        <v>0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58">
        <v>0</v>
      </c>
      <c r="K16" s="22">
        <v>0</v>
      </c>
      <c r="L16" s="22">
        <v>0</v>
      </c>
      <c r="M16" s="22">
        <v>0</v>
      </c>
      <c r="N16" s="22">
        <v>0</v>
      </c>
      <c r="O16" s="22">
        <v>0</v>
      </c>
      <c r="P16" s="22">
        <v>0</v>
      </c>
      <c r="Q16" s="26">
        <v>0</v>
      </c>
      <c r="R16" s="23">
        <v>15</v>
      </c>
      <c r="S16" s="41">
        <f t="shared" si="1"/>
        <v>0</v>
      </c>
      <c r="T16" s="42">
        <f t="shared" si="2"/>
        <v>0</v>
      </c>
      <c r="U16" s="42">
        <f t="shared" si="3"/>
        <v>0</v>
      </c>
      <c r="V16" s="42">
        <f t="shared" si="4"/>
        <v>0</v>
      </c>
      <c r="W16" s="42">
        <f t="shared" si="5"/>
        <v>0</v>
      </c>
      <c r="X16" s="42">
        <f t="shared" si="6"/>
        <v>0</v>
      </c>
      <c r="Y16" s="42">
        <f t="shared" si="7"/>
        <v>0</v>
      </c>
      <c r="Z16" s="42">
        <f t="shared" si="19"/>
        <v>0</v>
      </c>
      <c r="AA16" s="42">
        <f t="shared" si="8"/>
        <v>0</v>
      </c>
      <c r="AB16" s="42">
        <f t="shared" si="9"/>
        <v>0</v>
      </c>
      <c r="AC16" s="42">
        <f t="shared" si="10"/>
        <v>0</v>
      </c>
      <c r="AD16" s="42">
        <f t="shared" si="11"/>
        <v>0</v>
      </c>
      <c r="AE16" s="42">
        <f t="shared" si="12"/>
        <v>0</v>
      </c>
      <c r="AF16" s="42">
        <f t="shared" si="13"/>
        <v>0</v>
      </c>
      <c r="AG16" s="42">
        <f t="shared" si="14"/>
        <v>0</v>
      </c>
      <c r="AH16" s="43">
        <f t="shared" si="15"/>
        <v>0</v>
      </c>
      <c r="AJ16" s="30" t="str">
        <f t="shared" si="16"/>
        <v>0b00000000</v>
      </c>
      <c r="AK16" s="31" t="str">
        <f t="shared" si="17"/>
        <v>0b00000000</v>
      </c>
      <c r="AL16" s="49" t="str">
        <f t="shared" si="18"/>
        <v>0000000000000000</v>
      </c>
    </row>
    <row r="17" spans="1:38" ht="15.75" thickBot="1" x14ac:dyDescent="0.3">
      <c r="A17" s="23">
        <v>16</v>
      </c>
      <c r="B17" s="35">
        <v>0</v>
      </c>
      <c r="C17" s="36">
        <v>0</v>
      </c>
      <c r="D17" s="36">
        <v>0</v>
      </c>
      <c r="E17" s="36">
        <v>0</v>
      </c>
      <c r="F17" s="36">
        <v>0</v>
      </c>
      <c r="G17" s="36">
        <v>0</v>
      </c>
      <c r="H17" s="36">
        <v>0</v>
      </c>
      <c r="I17" s="36">
        <v>0</v>
      </c>
      <c r="J17" s="59">
        <v>0</v>
      </c>
      <c r="K17" s="36">
        <v>0</v>
      </c>
      <c r="L17" s="36">
        <v>0</v>
      </c>
      <c r="M17" s="36">
        <v>0</v>
      </c>
      <c r="N17" s="36">
        <v>0</v>
      </c>
      <c r="O17" s="36">
        <v>0</v>
      </c>
      <c r="P17" s="36">
        <v>0</v>
      </c>
      <c r="Q17" s="37">
        <v>0</v>
      </c>
      <c r="R17" s="23">
        <v>16</v>
      </c>
      <c r="S17" s="44">
        <f t="shared" si="1"/>
        <v>0</v>
      </c>
      <c r="T17" s="45">
        <f t="shared" si="2"/>
        <v>0</v>
      </c>
      <c r="U17" s="45">
        <f t="shared" si="3"/>
        <v>0</v>
      </c>
      <c r="V17" s="45">
        <f t="shared" si="4"/>
        <v>0</v>
      </c>
      <c r="W17" s="45">
        <f t="shared" si="5"/>
        <v>0</v>
      </c>
      <c r="X17" s="45">
        <f t="shared" si="6"/>
        <v>0</v>
      </c>
      <c r="Y17" s="45">
        <f t="shared" si="7"/>
        <v>0</v>
      </c>
      <c r="Z17" s="45">
        <f t="shared" si="19"/>
        <v>0</v>
      </c>
      <c r="AA17" s="45">
        <f t="shared" si="8"/>
        <v>0</v>
      </c>
      <c r="AB17" s="45">
        <f t="shared" si="9"/>
        <v>0</v>
      </c>
      <c r="AC17" s="45">
        <f t="shared" si="10"/>
        <v>0</v>
      </c>
      <c r="AD17" s="45">
        <f t="shared" si="11"/>
        <v>0</v>
      </c>
      <c r="AE17" s="45">
        <f t="shared" si="12"/>
        <v>0</v>
      </c>
      <c r="AF17" s="45">
        <f t="shared" si="13"/>
        <v>0</v>
      </c>
      <c r="AG17" s="45">
        <f t="shared" si="14"/>
        <v>0</v>
      </c>
      <c r="AH17" s="46">
        <f t="shared" si="15"/>
        <v>0</v>
      </c>
      <c r="AJ17" s="32" t="str">
        <f t="shared" si="16"/>
        <v>0b00000000</v>
      </c>
      <c r="AK17" s="33" t="str">
        <f t="shared" si="17"/>
        <v>0b00000000</v>
      </c>
      <c r="AL17" s="50" t="str">
        <f t="shared" si="18"/>
        <v>0000000000000000</v>
      </c>
    </row>
    <row r="18" spans="1:38" x14ac:dyDescent="0.25"/>
    <row r="19" spans="1:38" x14ac:dyDescent="0.25">
      <c r="S19" s="105" t="s">
        <v>1</v>
      </c>
      <c r="T19" s="105"/>
      <c r="U19" s="105"/>
      <c r="V19" s="105"/>
      <c r="W19" s="105"/>
      <c r="X19" s="105"/>
      <c r="Y19" s="105"/>
      <c r="Z19" s="106" t="s">
        <v>32</v>
      </c>
      <c r="AA19" s="106"/>
      <c r="AB19" s="106"/>
      <c r="AC19" s="106"/>
      <c r="AD19" s="106"/>
      <c r="AE19" s="106"/>
      <c r="AF19" s="106"/>
      <c r="AG19" s="106"/>
      <c r="AH19" s="106"/>
    </row>
    <row r="20" spans="1:38" x14ac:dyDescent="0.25"/>
    <row r="21" spans="1:38" x14ac:dyDescent="0.25"/>
    <row r="22" spans="1:38" x14ac:dyDescent="0.25"/>
    <row r="23" spans="1:38" x14ac:dyDescent="0.25"/>
    <row r="24" spans="1:38" x14ac:dyDescent="0.25"/>
  </sheetData>
  <sheetProtection sheet="1" objects="1" scenarios="1" selectLockedCells="1"/>
  <mergeCells count="3">
    <mergeCell ref="AJ1:AK1"/>
    <mergeCell ref="S19:Y19"/>
    <mergeCell ref="Z19:AH19"/>
  </mergeCells>
  <conditionalFormatting sqref="S2:AH17">
    <cfRule type="cellIs" dxfId="4" priority="4" stopIfTrue="1" operator="equal">
      <formula>1</formula>
    </cfRule>
  </conditionalFormatting>
  <conditionalFormatting sqref="B2:Q17">
    <cfRule type="cellIs" dxfId="3" priority="1" operator="equal">
      <formula>1</formula>
    </cfRule>
    <cfRule type="cellIs" dxfId="2" priority="2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BorrarTodo">
          <controlPr defaultSize="0" autoLine="0" r:id="rId5">
            <anchor moveWithCells="1">
              <from>
                <xdr:col>4</xdr:col>
                <xdr:colOff>95250</xdr:colOff>
                <xdr:row>17</xdr:row>
                <xdr:rowOff>114300</xdr:rowOff>
              </from>
              <to>
                <xdr:col>9</xdr:col>
                <xdr:colOff>47625</xdr:colOff>
                <xdr:row>19</xdr:row>
                <xdr:rowOff>38100</xdr:rowOff>
              </to>
            </anchor>
          </controlPr>
        </control>
      </mc:Choice>
      <mc:Fallback>
        <control shapeId="1025" r:id="rId4" name="BorrarTodo"/>
      </mc:Fallback>
    </mc:AlternateContent>
    <mc:AlternateContent xmlns:mc="http://schemas.openxmlformats.org/markup-compatibility/2006">
      <mc:Choice Requires="x14">
        <control shapeId="1026" r:id="rId6" name="Copiar">
          <controlPr defaultSize="0" autoLine="0" r:id="rId7">
            <anchor moveWithCells="1">
              <from>
                <xdr:col>22</xdr:col>
                <xdr:colOff>19050</xdr:colOff>
                <xdr:row>19</xdr:row>
                <xdr:rowOff>66675</xdr:rowOff>
              </from>
              <to>
                <xdr:col>31</xdr:col>
                <xdr:colOff>9525</xdr:colOff>
                <xdr:row>20</xdr:row>
                <xdr:rowOff>180975</xdr:rowOff>
              </to>
            </anchor>
          </controlPr>
        </control>
      </mc:Choice>
      <mc:Fallback>
        <control shapeId="1026" r:id="rId6" name="Copiar"/>
      </mc:Fallback>
    </mc:AlternateContent>
    <mc:AlternateContent xmlns:mc="http://schemas.openxmlformats.org/markup-compatibility/2006">
      <mc:Choice Requires="x14">
        <control shapeId="1028" r:id="rId8" name="Invertir">
          <controlPr defaultSize="0" autoLine="0" r:id="rId9">
            <anchor moveWithCells="1">
              <from>
                <xdr:col>11</xdr:col>
                <xdr:colOff>76200</xdr:colOff>
                <xdr:row>17</xdr:row>
                <xdr:rowOff>152400</xdr:rowOff>
              </from>
              <to>
                <xdr:col>15</xdr:col>
                <xdr:colOff>114300</xdr:colOff>
                <xdr:row>19</xdr:row>
                <xdr:rowOff>28575</xdr:rowOff>
              </to>
            </anchor>
          </controlPr>
        </control>
      </mc:Choice>
      <mc:Fallback>
        <control shapeId="1028" r:id="rId8" name="Invertir"/>
      </mc:Fallback>
    </mc:AlternateContent>
    <mc:AlternateContent xmlns:mc="http://schemas.openxmlformats.org/markup-compatibility/2006">
      <mc:Choice Requires="x14">
        <control shapeId="1029" r:id="rId10" name="guardar">
          <controlPr defaultSize="0" autoLine="0" autoPict="0" r:id="rId11">
            <anchor moveWithCells="1">
              <from>
                <xdr:col>22</xdr:col>
                <xdr:colOff>19050</xdr:colOff>
                <xdr:row>20</xdr:row>
                <xdr:rowOff>190500</xdr:rowOff>
              </from>
              <to>
                <xdr:col>31</xdr:col>
                <xdr:colOff>9525</xdr:colOff>
                <xdr:row>22</xdr:row>
                <xdr:rowOff>104775</xdr:rowOff>
              </to>
            </anchor>
          </controlPr>
        </control>
      </mc:Choice>
      <mc:Fallback>
        <control shapeId="1029" r:id="rId10" name="guardar"/>
      </mc:Fallback>
    </mc:AlternateContent>
    <mc:AlternateContent xmlns:mc="http://schemas.openxmlformats.org/markup-compatibility/2006">
      <mc:Choice Requires="x14">
        <control shapeId="1030" r:id="rId12" name="ComoProyecto">
          <controlPr defaultSize="0" autoLine="0" r:id="rId13">
            <anchor moveWithCells="1">
              <from>
                <xdr:col>22</xdr:col>
                <xdr:colOff>47625</xdr:colOff>
                <xdr:row>22</xdr:row>
                <xdr:rowOff>95250</xdr:rowOff>
              </from>
              <to>
                <xdr:col>30</xdr:col>
                <xdr:colOff>180975</xdr:colOff>
                <xdr:row>1048575</xdr:row>
                <xdr:rowOff>95250</xdr:rowOff>
              </to>
            </anchor>
          </controlPr>
        </control>
      </mc:Choice>
      <mc:Fallback>
        <control shapeId="1030" r:id="rId12" name="ComoProyecto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5184D-E1DE-480E-868D-1C8FE0784D7C}">
  <sheetPr codeName="Hoja2"/>
  <dimension ref="A1:AP24"/>
  <sheetViews>
    <sheetView showGridLines="0" showRowColHeaders="0" workbookViewId="0">
      <selection activeCell="S4" sqref="S4:S19"/>
    </sheetView>
  </sheetViews>
  <sheetFormatPr baseColWidth="10" defaultColWidth="0" defaultRowHeight="15" zeroHeight="1" outlineLevelCol="1" x14ac:dyDescent="0.25"/>
  <cols>
    <col min="1" max="1" width="3.42578125" customWidth="1"/>
    <col min="2" max="18" width="2.85546875" customWidth="1"/>
    <col min="19" max="19" width="48.28515625" customWidth="1"/>
    <col min="20" max="20" width="4.5703125" customWidth="1"/>
    <col min="21" max="21" width="4.28515625" hidden="1" customWidth="1" outlineLevel="1"/>
    <col min="22" max="22" width="16.140625" style="7" hidden="1" customWidth="1" outlineLevel="1"/>
    <col min="23" max="23" width="5" style="7" hidden="1" customWidth="1" outlineLevel="1"/>
    <col min="24" max="24" width="16.140625" style="7" hidden="1" customWidth="1" outlineLevel="1"/>
    <col min="25" max="25" width="5.5703125" hidden="1" customWidth="1" outlineLevel="1"/>
    <col min="26" max="41" width="2.85546875" hidden="1" customWidth="1" outlineLevel="1"/>
    <col min="42" max="42" width="2.85546875" customWidth="1" collapsed="1"/>
    <col min="43" max="16384" width="11.42578125" hidden="1"/>
  </cols>
  <sheetData>
    <row r="1" spans="1:42" x14ac:dyDescent="0.25"/>
    <row r="2" spans="1:42" ht="15.75" thickBot="1" x14ac:dyDescent="0.3">
      <c r="B2" s="115" t="s">
        <v>3</v>
      </c>
      <c r="C2" s="115"/>
      <c r="D2" s="115"/>
      <c r="E2" s="115"/>
      <c r="F2" s="115"/>
      <c r="G2" s="107" t="str">
        <f>IFERROR(MID(S4,FIND("char",S4)+5,FIND("[]",S4)-(FIND("char",S4)+5)),"Desconocido")</f>
        <v>Desconocido</v>
      </c>
      <c r="H2" s="107"/>
      <c r="I2" s="107"/>
      <c r="J2" s="107"/>
      <c r="K2" s="107"/>
      <c r="L2" s="107"/>
      <c r="M2" s="107"/>
      <c r="N2" s="107"/>
      <c r="O2" s="107"/>
      <c r="P2" s="107"/>
      <c r="Q2" s="107"/>
      <c r="U2" s="114" t="s">
        <v>6</v>
      </c>
      <c r="V2" s="114"/>
      <c r="W2" s="114"/>
      <c r="X2" s="114"/>
    </row>
    <row r="3" spans="1:42" ht="15.75" thickBot="1" x14ac:dyDescent="0.3">
      <c r="B3" s="23">
        <v>1</v>
      </c>
      <c r="C3" s="23">
        <v>2</v>
      </c>
      <c r="D3" s="23">
        <v>3</v>
      </c>
      <c r="E3" s="23">
        <v>4</v>
      </c>
      <c r="F3" s="23">
        <v>5</v>
      </c>
      <c r="G3" s="23">
        <v>6</v>
      </c>
      <c r="H3" s="23">
        <v>7</v>
      </c>
      <c r="I3" s="23">
        <v>8</v>
      </c>
      <c r="J3" s="23">
        <v>9</v>
      </c>
      <c r="K3" s="23">
        <v>10</v>
      </c>
      <c r="L3" s="23">
        <v>11</v>
      </c>
      <c r="M3" s="23">
        <v>12</v>
      </c>
      <c r="N3" s="23">
        <v>13</v>
      </c>
      <c r="O3" s="23">
        <v>14</v>
      </c>
      <c r="P3" s="23">
        <v>15</v>
      </c>
      <c r="Q3" s="23">
        <v>16</v>
      </c>
      <c r="S3" s="51" t="s">
        <v>10</v>
      </c>
      <c r="T3" s="51"/>
      <c r="U3" s="54" t="s">
        <v>7</v>
      </c>
      <c r="V3" s="55" t="s">
        <v>4</v>
      </c>
      <c r="W3" s="55" t="s">
        <v>8</v>
      </c>
      <c r="X3" s="56" t="s">
        <v>5</v>
      </c>
      <c r="Y3" s="8"/>
      <c r="Z3" s="108" t="s">
        <v>9</v>
      </c>
      <c r="AA3" s="109"/>
      <c r="AB3" s="109"/>
      <c r="AC3" s="109"/>
      <c r="AD3" s="109"/>
      <c r="AE3" s="109"/>
      <c r="AF3" s="109"/>
      <c r="AG3" s="109"/>
      <c r="AH3" s="109"/>
      <c r="AI3" s="109"/>
      <c r="AJ3" s="109"/>
      <c r="AK3" s="109"/>
      <c r="AL3" s="109"/>
      <c r="AM3" s="109"/>
      <c r="AN3" s="109"/>
      <c r="AO3" s="110"/>
      <c r="AP3" s="7"/>
    </row>
    <row r="4" spans="1:42" ht="15" customHeight="1" x14ac:dyDescent="0.25">
      <c r="A4" s="23">
        <v>1</v>
      </c>
      <c r="B4" s="38" t="str">
        <f>IFERROR(MID($V4,$B$3,1),"")</f>
        <v/>
      </c>
      <c r="C4" s="39" t="str">
        <f t="shared" ref="C4:I4" si="0">IFERROR(MID($V4,C$3,1),"")</f>
        <v/>
      </c>
      <c r="D4" s="39" t="str">
        <f t="shared" si="0"/>
        <v/>
      </c>
      <c r="E4" s="39" t="str">
        <f t="shared" si="0"/>
        <v/>
      </c>
      <c r="F4" s="39" t="str">
        <f t="shared" si="0"/>
        <v/>
      </c>
      <c r="G4" s="39" t="str">
        <f t="shared" si="0"/>
        <v/>
      </c>
      <c r="H4" s="39" t="str">
        <f t="shared" si="0"/>
        <v/>
      </c>
      <c r="I4" s="39" t="str">
        <f t="shared" si="0"/>
        <v/>
      </c>
      <c r="J4" s="39" t="str">
        <f t="shared" ref="J4:Q4" si="1">IFERROR(MID($X4,J$3-8,1),"")</f>
        <v/>
      </c>
      <c r="K4" s="39" t="str">
        <f t="shared" si="1"/>
        <v/>
      </c>
      <c r="L4" s="39" t="str">
        <f t="shared" si="1"/>
        <v/>
      </c>
      <c r="M4" s="39" t="str">
        <f t="shared" si="1"/>
        <v/>
      </c>
      <c r="N4" s="39" t="str">
        <f t="shared" si="1"/>
        <v/>
      </c>
      <c r="O4" s="39" t="str">
        <f t="shared" si="1"/>
        <v/>
      </c>
      <c r="P4" s="39" t="str">
        <f t="shared" si="1"/>
        <v/>
      </c>
      <c r="Q4" s="40" t="str">
        <f t="shared" si="1"/>
        <v/>
      </c>
      <c r="S4" s="111"/>
      <c r="T4" s="53"/>
      <c r="U4" s="15">
        <v>0</v>
      </c>
      <c r="V4" s="16" t="e">
        <f>MID($S$4,FIND(U22,$S$4)+V22,FIND(",",$S$4,FIND(U22,$S$4))-(FIND(U22,$S$4)+V22))</f>
        <v>#VALUE!</v>
      </c>
      <c r="W4" s="16" t="e">
        <f>FIND(",",$S$4)</f>
        <v>#VALUE!</v>
      </c>
      <c r="X4" s="17" t="e">
        <f>MID($S$4,FIND(U22,$S$4,W4)+V22,FIND(",",$S$4,FIND(U22,$S$4,W4))-(FIND(U22,$S$4,W4)+V22))</f>
        <v>#VALUE!</v>
      </c>
      <c r="Z4" s="9" t="str">
        <f>B4</f>
        <v/>
      </c>
      <c r="AA4" s="10" t="str">
        <f t="shared" ref="AA4:AO4" si="2">C4</f>
        <v/>
      </c>
      <c r="AB4" s="10" t="str">
        <f t="shared" si="2"/>
        <v/>
      </c>
      <c r="AC4" s="10" t="str">
        <f t="shared" si="2"/>
        <v/>
      </c>
      <c r="AD4" s="10" t="str">
        <f t="shared" si="2"/>
        <v/>
      </c>
      <c r="AE4" s="10" t="str">
        <f t="shared" si="2"/>
        <v/>
      </c>
      <c r="AF4" s="10" t="str">
        <f t="shared" si="2"/>
        <v/>
      </c>
      <c r="AG4" s="10" t="str">
        <f t="shared" si="2"/>
        <v/>
      </c>
      <c r="AH4" s="10" t="str">
        <f t="shared" si="2"/>
        <v/>
      </c>
      <c r="AI4" s="10" t="str">
        <f t="shared" si="2"/>
        <v/>
      </c>
      <c r="AJ4" s="10" t="str">
        <f t="shared" si="2"/>
        <v/>
      </c>
      <c r="AK4" s="10" t="str">
        <f t="shared" si="2"/>
        <v/>
      </c>
      <c r="AL4" s="10" t="str">
        <f t="shared" si="2"/>
        <v/>
      </c>
      <c r="AM4" s="10" t="str">
        <f t="shared" si="2"/>
        <v/>
      </c>
      <c r="AN4" s="10" t="str">
        <f t="shared" si="2"/>
        <v/>
      </c>
      <c r="AO4" s="11" t="str">
        <f t="shared" si="2"/>
        <v/>
      </c>
      <c r="AP4" s="7"/>
    </row>
    <row r="5" spans="1:42" x14ac:dyDescent="0.25">
      <c r="A5" s="23">
        <v>2</v>
      </c>
      <c r="B5" s="41" t="str">
        <f t="shared" ref="B5:B19" si="3">IFERROR(MID($V5,$B$3,1),"")</f>
        <v/>
      </c>
      <c r="C5" s="42" t="str">
        <f t="shared" ref="C5:I19" si="4">IFERROR(MID($V5,C$3,1),"")</f>
        <v/>
      </c>
      <c r="D5" s="42" t="str">
        <f t="shared" si="4"/>
        <v/>
      </c>
      <c r="E5" s="42" t="str">
        <f t="shared" si="4"/>
        <v/>
      </c>
      <c r="F5" s="42" t="str">
        <f t="shared" si="4"/>
        <v/>
      </c>
      <c r="G5" s="42" t="str">
        <f t="shared" si="4"/>
        <v/>
      </c>
      <c r="H5" s="42" t="str">
        <f t="shared" si="4"/>
        <v/>
      </c>
      <c r="I5" s="42" t="str">
        <f t="shared" si="4"/>
        <v/>
      </c>
      <c r="J5" s="42" t="str">
        <f t="shared" ref="J5:Q19" si="5">IFERROR(MID($X5,J$3-8,1),"")</f>
        <v/>
      </c>
      <c r="K5" s="42" t="str">
        <f t="shared" si="5"/>
        <v/>
      </c>
      <c r="L5" s="42" t="str">
        <f t="shared" si="5"/>
        <v/>
      </c>
      <c r="M5" s="42" t="str">
        <f t="shared" si="5"/>
        <v/>
      </c>
      <c r="N5" s="42" t="str">
        <f t="shared" si="5"/>
        <v/>
      </c>
      <c r="O5" s="42" t="str">
        <f t="shared" si="5"/>
        <v/>
      </c>
      <c r="P5" s="42" t="str">
        <f t="shared" si="5"/>
        <v/>
      </c>
      <c r="Q5" s="43" t="str">
        <f t="shared" si="5"/>
        <v/>
      </c>
      <c r="S5" s="112"/>
      <c r="T5" s="53"/>
      <c r="U5" s="15" t="e">
        <f>FIND(",",$S$4,W4+1)</f>
        <v>#VALUE!</v>
      </c>
      <c r="V5" s="16" t="e">
        <f>MID($S$4,FIND(U22,$S$4,U5)+V22,FIND(",",$S$4,FIND(U22,$S$4,U5))-(FIND(U22,$S$4,U5)+V22))</f>
        <v>#VALUE!</v>
      </c>
      <c r="W5" s="16" t="e">
        <f>FIND(",",$S$4,U5+1)</f>
        <v>#VALUE!</v>
      </c>
      <c r="X5" s="17" t="e">
        <f>MID($S$4,FIND(U22,$S$4,W5)+V22,FIND(",",$S$4,FIND(U22,$S$4,W5))-(FIND(U22,$S$4,W5)+V22))</f>
        <v>#VALUE!</v>
      </c>
      <c r="Z5" s="9" t="str">
        <f t="shared" ref="Z5:Z19" si="6">B5</f>
        <v/>
      </c>
      <c r="AA5" s="10" t="str">
        <f t="shared" ref="AA5:AA19" si="7">C5</f>
        <v/>
      </c>
      <c r="AB5" s="10" t="str">
        <f t="shared" ref="AB5:AB19" si="8">D5</f>
        <v/>
      </c>
      <c r="AC5" s="10" t="str">
        <f t="shared" ref="AC5:AC19" si="9">E5</f>
        <v/>
      </c>
      <c r="AD5" s="10" t="str">
        <f t="shared" ref="AD5:AD19" si="10">F5</f>
        <v/>
      </c>
      <c r="AE5" s="10" t="str">
        <f t="shared" ref="AE5:AE19" si="11">G5</f>
        <v/>
      </c>
      <c r="AF5" s="10" t="str">
        <f t="shared" ref="AF5:AF19" si="12">H5</f>
        <v/>
      </c>
      <c r="AG5" s="10" t="str">
        <f t="shared" ref="AG5:AG19" si="13">I5</f>
        <v/>
      </c>
      <c r="AH5" s="10" t="str">
        <f t="shared" ref="AH5:AH19" si="14">J5</f>
        <v/>
      </c>
      <c r="AI5" s="10" t="str">
        <f t="shared" ref="AI5:AI19" si="15">K5</f>
        <v/>
      </c>
      <c r="AJ5" s="10" t="str">
        <f t="shared" ref="AJ5:AJ19" si="16">L5</f>
        <v/>
      </c>
      <c r="AK5" s="10" t="str">
        <f t="shared" ref="AK5:AK19" si="17">M5</f>
        <v/>
      </c>
      <c r="AL5" s="10" t="str">
        <f t="shared" ref="AL5:AL19" si="18">N5</f>
        <v/>
      </c>
      <c r="AM5" s="10" t="str">
        <f t="shared" ref="AM5:AM19" si="19">O5</f>
        <v/>
      </c>
      <c r="AN5" s="10" t="str">
        <f t="shared" ref="AN5:AN19" si="20">P5</f>
        <v/>
      </c>
      <c r="AO5" s="11" t="str">
        <f t="shared" ref="AO5:AO19" si="21">Q5</f>
        <v/>
      </c>
      <c r="AP5" s="7"/>
    </row>
    <row r="6" spans="1:42" x14ac:dyDescent="0.25">
      <c r="A6" s="23">
        <v>3</v>
      </c>
      <c r="B6" s="41" t="str">
        <f t="shared" si="3"/>
        <v/>
      </c>
      <c r="C6" s="42" t="str">
        <f t="shared" si="4"/>
        <v/>
      </c>
      <c r="D6" s="42" t="str">
        <f t="shared" si="4"/>
        <v/>
      </c>
      <c r="E6" s="42" t="str">
        <f t="shared" si="4"/>
        <v/>
      </c>
      <c r="F6" s="42" t="str">
        <f t="shared" si="4"/>
        <v/>
      </c>
      <c r="G6" s="42" t="str">
        <f t="shared" si="4"/>
        <v/>
      </c>
      <c r="H6" s="42" t="str">
        <f t="shared" si="4"/>
        <v/>
      </c>
      <c r="I6" s="42" t="str">
        <f t="shared" si="4"/>
        <v/>
      </c>
      <c r="J6" s="42" t="str">
        <f t="shared" si="5"/>
        <v/>
      </c>
      <c r="K6" s="42" t="str">
        <f t="shared" si="5"/>
        <v/>
      </c>
      <c r="L6" s="42" t="str">
        <f t="shared" si="5"/>
        <v/>
      </c>
      <c r="M6" s="42" t="str">
        <f t="shared" si="5"/>
        <v/>
      </c>
      <c r="N6" s="42" t="str">
        <f t="shared" si="5"/>
        <v/>
      </c>
      <c r="O6" s="42" t="str">
        <f t="shared" si="5"/>
        <v/>
      </c>
      <c r="P6" s="42" t="str">
        <f t="shared" si="5"/>
        <v/>
      </c>
      <c r="Q6" s="43" t="str">
        <f t="shared" si="5"/>
        <v/>
      </c>
      <c r="S6" s="112"/>
      <c r="T6" s="53"/>
      <c r="U6" s="15" t="e">
        <f>FIND(",",$S$4,W5+1)</f>
        <v>#VALUE!</v>
      </c>
      <c r="V6" s="16" t="e">
        <f>MID($S$4,FIND(U22,$S$4,U6)+V22,FIND(",",$S$4,FIND(U22,$S$4,U6))-(FIND(U22,$S$4,U6)+V22))</f>
        <v>#VALUE!</v>
      </c>
      <c r="W6" s="16" t="e">
        <f>FIND(",",$S$4,U6+1)</f>
        <v>#VALUE!</v>
      </c>
      <c r="X6" s="17" t="e">
        <f>MID($S$4,FIND(U22,$S$4,W6)+V22,FIND(",",$S$4,FIND(U22,$S$4,W6))-(FIND(U22,$S$4,W6)+V22))</f>
        <v>#VALUE!</v>
      </c>
      <c r="Z6" s="9" t="str">
        <f t="shared" si="6"/>
        <v/>
      </c>
      <c r="AA6" s="10" t="str">
        <f t="shared" si="7"/>
        <v/>
      </c>
      <c r="AB6" s="10" t="str">
        <f t="shared" si="8"/>
        <v/>
      </c>
      <c r="AC6" s="10" t="str">
        <f t="shared" si="9"/>
        <v/>
      </c>
      <c r="AD6" s="10" t="str">
        <f t="shared" si="10"/>
        <v/>
      </c>
      <c r="AE6" s="10" t="str">
        <f t="shared" si="11"/>
        <v/>
      </c>
      <c r="AF6" s="10" t="str">
        <f t="shared" si="12"/>
        <v/>
      </c>
      <c r="AG6" s="10" t="str">
        <f t="shared" si="13"/>
        <v/>
      </c>
      <c r="AH6" s="10" t="str">
        <f t="shared" si="14"/>
        <v/>
      </c>
      <c r="AI6" s="10" t="str">
        <f t="shared" si="15"/>
        <v/>
      </c>
      <c r="AJ6" s="10" t="str">
        <f t="shared" si="16"/>
        <v/>
      </c>
      <c r="AK6" s="10" t="str">
        <f t="shared" si="17"/>
        <v/>
      </c>
      <c r="AL6" s="10" t="str">
        <f t="shared" si="18"/>
        <v/>
      </c>
      <c r="AM6" s="10" t="str">
        <f t="shared" si="19"/>
        <v/>
      </c>
      <c r="AN6" s="10" t="str">
        <f t="shared" si="20"/>
        <v/>
      </c>
      <c r="AO6" s="11" t="str">
        <f t="shared" si="21"/>
        <v/>
      </c>
      <c r="AP6" s="7"/>
    </row>
    <row r="7" spans="1:42" x14ac:dyDescent="0.25">
      <c r="A7" s="23">
        <v>4</v>
      </c>
      <c r="B7" s="41" t="str">
        <f t="shared" si="3"/>
        <v/>
      </c>
      <c r="C7" s="42" t="str">
        <f t="shared" si="4"/>
        <v/>
      </c>
      <c r="D7" s="42" t="str">
        <f t="shared" si="4"/>
        <v/>
      </c>
      <c r="E7" s="42" t="str">
        <f t="shared" si="4"/>
        <v/>
      </c>
      <c r="F7" s="42" t="str">
        <f t="shared" si="4"/>
        <v/>
      </c>
      <c r="G7" s="42" t="str">
        <f t="shared" si="4"/>
        <v/>
      </c>
      <c r="H7" s="42" t="str">
        <f t="shared" si="4"/>
        <v/>
      </c>
      <c r="I7" s="42" t="str">
        <f t="shared" si="4"/>
        <v/>
      </c>
      <c r="J7" s="42" t="str">
        <f t="shared" si="5"/>
        <v/>
      </c>
      <c r="K7" s="42" t="str">
        <f t="shared" si="5"/>
        <v/>
      </c>
      <c r="L7" s="42" t="str">
        <f t="shared" si="5"/>
        <v/>
      </c>
      <c r="M7" s="42" t="str">
        <f t="shared" si="5"/>
        <v/>
      </c>
      <c r="N7" s="42" t="str">
        <f t="shared" si="5"/>
        <v/>
      </c>
      <c r="O7" s="42" t="str">
        <f t="shared" si="5"/>
        <v/>
      </c>
      <c r="P7" s="42" t="str">
        <f t="shared" si="5"/>
        <v/>
      </c>
      <c r="Q7" s="43" t="str">
        <f t="shared" si="5"/>
        <v/>
      </c>
      <c r="S7" s="112"/>
      <c r="T7" s="53"/>
      <c r="U7" s="15" t="e">
        <f t="shared" ref="U7:U19" si="22">FIND(",",$S$4,W6+1)</f>
        <v>#VALUE!</v>
      </c>
      <c r="V7" s="16" t="e">
        <f>MID($S$4,FIND(U22,$S$4,U7)+V22,FIND(",",$S$4,FIND(U22,$S$4,U7))-(FIND(U22,$S$4,U7)+V22))</f>
        <v>#VALUE!</v>
      </c>
      <c r="W7" s="16" t="e">
        <f t="shared" ref="W7:W19" si="23">FIND(",",$S$4,U7+1)</f>
        <v>#VALUE!</v>
      </c>
      <c r="X7" s="17" t="e">
        <f>MID($S$4,FIND(U22,$S$4,W7)+V22,FIND(",",$S$4,FIND(U22,$S$4,W7))-(FIND(U22,$S$4,W7)+V22))</f>
        <v>#VALUE!</v>
      </c>
      <c r="Z7" s="9" t="str">
        <f t="shared" si="6"/>
        <v/>
      </c>
      <c r="AA7" s="10" t="str">
        <f t="shared" si="7"/>
        <v/>
      </c>
      <c r="AB7" s="10" t="str">
        <f t="shared" si="8"/>
        <v/>
      </c>
      <c r="AC7" s="10" t="str">
        <f t="shared" si="9"/>
        <v/>
      </c>
      <c r="AD7" s="10" t="str">
        <f t="shared" si="10"/>
        <v/>
      </c>
      <c r="AE7" s="10" t="str">
        <f t="shared" si="11"/>
        <v/>
      </c>
      <c r="AF7" s="10" t="str">
        <f t="shared" si="12"/>
        <v/>
      </c>
      <c r="AG7" s="10" t="str">
        <f t="shared" si="13"/>
        <v/>
      </c>
      <c r="AH7" s="10" t="str">
        <f t="shared" si="14"/>
        <v/>
      </c>
      <c r="AI7" s="10" t="str">
        <f t="shared" si="15"/>
        <v/>
      </c>
      <c r="AJ7" s="10" t="str">
        <f t="shared" si="16"/>
        <v/>
      </c>
      <c r="AK7" s="10" t="str">
        <f t="shared" si="17"/>
        <v/>
      </c>
      <c r="AL7" s="10" t="str">
        <f t="shared" si="18"/>
        <v/>
      </c>
      <c r="AM7" s="10" t="str">
        <f t="shared" si="19"/>
        <v/>
      </c>
      <c r="AN7" s="10" t="str">
        <f t="shared" si="20"/>
        <v/>
      </c>
      <c r="AO7" s="11" t="str">
        <f t="shared" si="21"/>
        <v/>
      </c>
      <c r="AP7" s="7"/>
    </row>
    <row r="8" spans="1:42" x14ac:dyDescent="0.25">
      <c r="A8" s="23">
        <v>5</v>
      </c>
      <c r="B8" s="41" t="str">
        <f t="shared" si="3"/>
        <v/>
      </c>
      <c r="C8" s="42" t="str">
        <f t="shared" si="4"/>
        <v/>
      </c>
      <c r="D8" s="42" t="str">
        <f t="shared" si="4"/>
        <v/>
      </c>
      <c r="E8" s="42" t="str">
        <f t="shared" si="4"/>
        <v/>
      </c>
      <c r="F8" s="42" t="str">
        <f t="shared" si="4"/>
        <v/>
      </c>
      <c r="G8" s="42" t="str">
        <f t="shared" si="4"/>
        <v/>
      </c>
      <c r="H8" s="42" t="str">
        <f t="shared" si="4"/>
        <v/>
      </c>
      <c r="I8" s="42" t="str">
        <f t="shared" si="4"/>
        <v/>
      </c>
      <c r="J8" s="42" t="str">
        <f t="shared" si="5"/>
        <v/>
      </c>
      <c r="K8" s="42" t="str">
        <f t="shared" si="5"/>
        <v/>
      </c>
      <c r="L8" s="42" t="str">
        <f t="shared" si="5"/>
        <v/>
      </c>
      <c r="M8" s="42" t="str">
        <f t="shared" si="5"/>
        <v/>
      </c>
      <c r="N8" s="42" t="str">
        <f t="shared" si="5"/>
        <v/>
      </c>
      <c r="O8" s="42" t="str">
        <f t="shared" si="5"/>
        <v/>
      </c>
      <c r="P8" s="42" t="str">
        <f t="shared" si="5"/>
        <v/>
      </c>
      <c r="Q8" s="43" t="str">
        <f t="shared" si="5"/>
        <v/>
      </c>
      <c r="S8" s="112"/>
      <c r="T8" s="53"/>
      <c r="U8" s="15" t="e">
        <f t="shared" si="22"/>
        <v>#VALUE!</v>
      </c>
      <c r="V8" s="16" t="e">
        <f>MID($S$4,FIND(U22,$S$4,U8)+V22,FIND(",",$S$4,FIND(U22,$S$4,U8))-(FIND(U22,$S$4,U8)+V22))</f>
        <v>#VALUE!</v>
      </c>
      <c r="W8" s="16" t="e">
        <f t="shared" si="23"/>
        <v>#VALUE!</v>
      </c>
      <c r="X8" s="17" t="e">
        <f>MID($S$4,FIND(U22,$S$4,W8)+V22,FIND(",",$S$4,FIND(U22,$S$4,W8))-(FIND(U22,$S$4,W8)+V22))</f>
        <v>#VALUE!</v>
      </c>
      <c r="Z8" s="9" t="str">
        <f t="shared" si="6"/>
        <v/>
      </c>
      <c r="AA8" s="10" t="str">
        <f t="shared" si="7"/>
        <v/>
      </c>
      <c r="AB8" s="10" t="str">
        <f t="shared" si="8"/>
        <v/>
      </c>
      <c r="AC8" s="10" t="str">
        <f t="shared" si="9"/>
        <v/>
      </c>
      <c r="AD8" s="10" t="str">
        <f t="shared" si="10"/>
        <v/>
      </c>
      <c r="AE8" s="10" t="str">
        <f t="shared" si="11"/>
        <v/>
      </c>
      <c r="AF8" s="10" t="str">
        <f t="shared" si="12"/>
        <v/>
      </c>
      <c r="AG8" s="10" t="str">
        <f t="shared" si="13"/>
        <v/>
      </c>
      <c r="AH8" s="10" t="str">
        <f t="shared" si="14"/>
        <v/>
      </c>
      <c r="AI8" s="10" t="str">
        <f t="shared" si="15"/>
        <v/>
      </c>
      <c r="AJ8" s="10" t="str">
        <f t="shared" si="16"/>
        <v/>
      </c>
      <c r="AK8" s="10" t="str">
        <f t="shared" si="17"/>
        <v/>
      </c>
      <c r="AL8" s="10" t="str">
        <f t="shared" si="18"/>
        <v/>
      </c>
      <c r="AM8" s="10" t="str">
        <f t="shared" si="19"/>
        <v/>
      </c>
      <c r="AN8" s="10" t="str">
        <f t="shared" si="20"/>
        <v/>
      </c>
      <c r="AO8" s="11" t="str">
        <f t="shared" si="21"/>
        <v/>
      </c>
      <c r="AP8" s="7"/>
    </row>
    <row r="9" spans="1:42" x14ac:dyDescent="0.25">
      <c r="A9" s="23">
        <v>6</v>
      </c>
      <c r="B9" s="41" t="str">
        <f t="shared" si="3"/>
        <v/>
      </c>
      <c r="C9" s="42" t="str">
        <f t="shared" si="4"/>
        <v/>
      </c>
      <c r="D9" s="42" t="str">
        <f t="shared" si="4"/>
        <v/>
      </c>
      <c r="E9" s="42" t="str">
        <f t="shared" si="4"/>
        <v/>
      </c>
      <c r="F9" s="42" t="str">
        <f t="shared" si="4"/>
        <v/>
      </c>
      <c r="G9" s="42" t="str">
        <f t="shared" si="4"/>
        <v/>
      </c>
      <c r="H9" s="42" t="str">
        <f t="shared" si="4"/>
        <v/>
      </c>
      <c r="I9" s="42" t="str">
        <f t="shared" si="4"/>
        <v/>
      </c>
      <c r="J9" s="42" t="str">
        <f t="shared" si="5"/>
        <v/>
      </c>
      <c r="K9" s="42" t="str">
        <f t="shared" si="5"/>
        <v/>
      </c>
      <c r="L9" s="42" t="str">
        <f t="shared" si="5"/>
        <v/>
      </c>
      <c r="M9" s="42" t="str">
        <f t="shared" si="5"/>
        <v/>
      </c>
      <c r="N9" s="42" t="str">
        <f t="shared" si="5"/>
        <v/>
      </c>
      <c r="O9" s="42" t="str">
        <f t="shared" si="5"/>
        <v/>
      </c>
      <c r="P9" s="42" t="str">
        <f t="shared" si="5"/>
        <v/>
      </c>
      <c r="Q9" s="43" t="str">
        <f t="shared" si="5"/>
        <v/>
      </c>
      <c r="S9" s="112"/>
      <c r="T9" s="53"/>
      <c r="U9" s="15" t="e">
        <f t="shared" si="22"/>
        <v>#VALUE!</v>
      </c>
      <c r="V9" s="16" t="e">
        <f>MID($S$4,FIND(U22,$S$4,U9)+V22,FIND(",",$S$4,FIND(U22,$S$4,U9))-(FIND(U22,$S$4,U9)+V22))</f>
        <v>#VALUE!</v>
      </c>
      <c r="W9" s="16" t="e">
        <f t="shared" si="23"/>
        <v>#VALUE!</v>
      </c>
      <c r="X9" s="17" t="e">
        <f>MID($S$4,FIND(U22,$S$4,W9)+V22,FIND(",",$S$4,FIND(U22,$S$4,W9))-(FIND(U22,$S$4,W9)+V22))</f>
        <v>#VALUE!</v>
      </c>
      <c r="Z9" s="9" t="str">
        <f t="shared" si="6"/>
        <v/>
      </c>
      <c r="AA9" s="10" t="str">
        <f t="shared" si="7"/>
        <v/>
      </c>
      <c r="AB9" s="10" t="str">
        <f t="shared" si="8"/>
        <v/>
      </c>
      <c r="AC9" s="10" t="str">
        <f t="shared" si="9"/>
        <v/>
      </c>
      <c r="AD9" s="10" t="str">
        <f t="shared" si="10"/>
        <v/>
      </c>
      <c r="AE9" s="10" t="str">
        <f t="shared" si="11"/>
        <v/>
      </c>
      <c r="AF9" s="10" t="str">
        <f t="shared" si="12"/>
        <v/>
      </c>
      <c r="AG9" s="10" t="str">
        <f t="shared" si="13"/>
        <v/>
      </c>
      <c r="AH9" s="10" t="str">
        <f t="shared" si="14"/>
        <v/>
      </c>
      <c r="AI9" s="10" t="str">
        <f t="shared" si="15"/>
        <v/>
      </c>
      <c r="AJ9" s="10" t="str">
        <f t="shared" si="16"/>
        <v/>
      </c>
      <c r="AK9" s="10" t="str">
        <f t="shared" si="17"/>
        <v/>
      </c>
      <c r="AL9" s="10" t="str">
        <f t="shared" si="18"/>
        <v/>
      </c>
      <c r="AM9" s="10" t="str">
        <f t="shared" si="19"/>
        <v/>
      </c>
      <c r="AN9" s="10" t="str">
        <f t="shared" si="20"/>
        <v/>
      </c>
      <c r="AO9" s="11" t="str">
        <f t="shared" si="21"/>
        <v/>
      </c>
      <c r="AP9" s="7"/>
    </row>
    <row r="10" spans="1:42" x14ac:dyDescent="0.25">
      <c r="A10" s="23">
        <v>7</v>
      </c>
      <c r="B10" s="41" t="str">
        <f t="shared" si="3"/>
        <v/>
      </c>
      <c r="C10" s="42" t="str">
        <f t="shared" si="4"/>
        <v/>
      </c>
      <c r="D10" s="42" t="str">
        <f t="shared" si="4"/>
        <v/>
      </c>
      <c r="E10" s="42" t="str">
        <f t="shared" si="4"/>
        <v/>
      </c>
      <c r="F10" s="42" t="str">
        <f t="shared" si="4"/>
        <v/>
      </c>
      <c r="G10" s="42" t="str">
        <f t="shared" si="4"/>
        <v/>
      </c>
      <c r="H10" s="42" t="str">
        <f t="shared" si="4"/>
        <v/>
      </c>
      <c r="I10" s="42" t="str">
        <f t="shared" si="4"/>
        <v/>
      </c>
      <c r="J10" s="42" t="str">
        <f t="shared" si="5"/>
        <v/>
      </c>
      <c r="K10" s="42" t="str">
        <f t="shared" si="5"/>
        <v/>
      </c>
      <c r="L10" s="42" t="str">
        <f t="shared" si="5"/>
        <v/>
      </c>
      <c r="M10" s="42" t="str">
        <f t="shared" si="5"/>
        <v/>
      </c>
      <c r="N10" s="42" t="str">
        <f t="shared" si="5"/>
        <v/>
      </c>
      <c r="O10" s="42" t="str">
        <f t="shared" si="5"/>
        <v/>
      </c>
      <c r="P10" s="42" t="str">
        <f t="shared" si="5"/>
        <v/>
      </c>
      <c r="Q10" s="43" t="str">
        <f t="shared" si="5"/>
        <v/>
      </c>
      <c r="S10" s="112"/>
      <c r="T10" s="53"/>
      <c r="U10" s="15" t="e">
        <f t="shared" si="22"/>
        <v>#VALUE!</v>
      </c>
      <c r="V10" s="16" t="e">
        <f>MID($S$4,FIND(U22,$S$4,U10)+V22,FIND(",",$S$4,FIND(U22,$S$4,U10))-(FIND(U22,$S$4,U10)+V22))</f>
        <v>#VALUE!</v>
      </c>
      <c r="W10" s="16" t="e">
        <f t="shared" si="23"/>
        <v>#VALUE!</v>
      </c>
      <c r="X10" s="17" t="e">
        <f>MID($S$4,FIND(U22,$S$4,W10)+V22,FIND(",",$S$4,FIND(U22,$S$4,W10))-(FIND(U22,$S$4,W10)+V22))</f>
        <v>#VALUE!</v>
      </c>
      <c r="Z10" s="9" t="str">
        <f t="shared" si="6"/>
        <v/>
      </c>
      <c r="AA10" s="10" t="str">
        <f t="shared" si="7"/>
        <v/>
      </c>
      <c r="AB10" s="10" t="str">
        <f t="shared" si="8"/>
        <v/>
      </c>
      <c r="AC10" s="10" t="str">
        <f t="shared" si="9"/>
        <v/>
      </c>
      <c r="AD10" s="10" t="str">
        <f t="shared" si="10"/>
        <v/>
      </c>
      <c r="AE10" s="10" t="str">
        <f t="shared" si="11"/>
        <v/>
      </c>
      <c r="AF10" s="10" t="str">
        <f t="shared" si="12"/>
        <v/>
      </c>
      <c r="AG10" s="10" t="str">
        <f t="shared" si="13"/>
        <v/>
      </c>
      <c r="AH10" s="10" t="str">
        <f t="shared" si="14"/>
        <v/>
      </c>
      <c r="AI10" s="10" t="str">
        <f t="shared" si="15"/>
        <v/>
      </c>
      <c r="AJ10" s="10" t="str">
        <f t="shared" si="16"/>
        <v/>
      </c>
      <c r="AK10" s="10" t="str">
        <f t="shared" si="17"/>
        <v/>
      </c>
      <c r="AL10" s="10" t="str">
        <f t="shared" si="18"/>
        <v/>
      </c>
      <c r="AM10" s="10" t="str">
        <f t="shared" si="19"/>
        <v/>
      </c>
      <c r="AN10" s="10" t="str">
        <f t="shared" si="20"/>
        <v/>
      </c>
      <c r="AO10" s="11" t="str">
        <f t="shared" si="21"/>
        <v/>
      </c>
      <c r="AP10" s="7"/>
    </row>
    <row r="11" spans="1:42" x14ac:dyDescent="0.25">
      <c r="A11" s="23">
        <v>8</v>
      </c>
      <c r="B11" s="41" t="str">
        <f t="shared" si="3"/>
        <v/>
      </c>
      <c r="C11" s="42" t="str">
        <f t="shared" si="4"/>
        <v/>
      </c>
      <c r="D11" s="42" t="str">
        <f t="shared" si="4"/>
        <v/>
      </c>
      <c r="E11" s="42" t="str">
        <f t="shared" si="4"/>
        <v/>
      </c>
      <c r="F11" s="42" t="str">
        <f t="shared" si="4"/>
        <v/>
      </c>
      <c r="G11" s="42" t="str">
        <f t="shared" si="4"/>
        <v/>
      </c>
      <c r="H11" s="42" t="str">
        <f t="shared" si="4"/>
        <v/>
      </c>
      <c r="I11" s="42" t="str">
        <f t="shared" si="4"/>
        <v/>
      </c>
      <c r="J11" s="42" t="str">
        <f t="shared" si="5"/>
        <v/>
      </c>
      <c r="K11" s="42" t="str">
        <f t="shared" si="5"/>
        <v/>
      </c>
      <c r="L11" s="42" t="str">
        <f t="shared" si="5"/>
        <v/>
      </c>
      <c r="M11" s="42" t="str">
        <f t="shared" si="5"/>
        <v/>
      </c>
      <c r="N11" s="42" t="str">
        <f t="shared" si="5"/>
        <v/>
      </c>
      <c r="O11" s="42" t="str">
        <f t="shared" si="5"/>
        <v/>
      </c>
      <c r="P11" s="42" t="str">
        <f t="shared" si="5"/>
        <v/>
      </c>
      <c r="Q11" s="43" t="str">
        <f t="shared" si="5"/>
        <v/>
      </c>
      <c r="S11" s="112"/>
      <c r="T11" s="53"/>
      <c r="U11" s="15" t="e">
        <f t="shared" si="22"/>
        <v>#VALUE!</v>
      </c>
      <c r="V11" s="16" t="e">
        <f>MID($S$4,FIND(U22,$S$4,U11)+V22,FIND(",",$S$4,FIND(U22,$S$4,U11))-(FIND(U22,$S$4,U11)+V22))</f>
        <v>#VALUE!</v>
      </c>
      <c r="W11" s="16" t="e">
        <f t="shared" si="23"/>
        <v>#VALUE!</v>
      </c>
      <c r="X11" s="17" t="e">
        <f>MID($S$4,FIND(U22,$S$4,W11)+V22,FIND(",",$S$4,FIND(U22,$S$4,W11))-(FIND(U22,$S$4,W11)+V22))</f>
        <v>#VALUE!</v>
      </c>
      <c r="Z11" s="9" t="str">
        <f t="shared" si="6"/>
        <v/>
      </c>
      <c r="AA11" s="10" t="str">
        <f t="shared" si="7"/>
        <v/>
      </c>
      <c r="AB11" s="10" t="str">
        <f t="shared" si="8"/>
        <v/>
      </c>
      <c r="AC11" s="10" t="str">
        <f t="shared" si="9"/>
        <v/>
      </c>
      <c r="AD11" s="10" t="str">
        <f t="shared" si="10"/>
        <v/>
      </c>
      <c r="AE11" s="10" t="str">
        <f t="shared" si="11"/>
        <v/>
      </c>
      <c r="AF11" s="10" t="str">
        <f t="shared" si="12"/>
        <v/>
      </c>
      <c r="AG11" s="10" t="str">
        <f t="shared" si="13"/>
        <v/>
      </c>
      <c r="AH11" s="10" t="str">
        <f t="shared" si="14"/>
        <v/>
      </c>
      <c r="AI11" s="10" t="str">
        <f t="shared" si="15"/>
        <v/>
      </c>
      <c r="AJ11" s="10" t="str">
        <f t="shared" si="16"/>
        <v/>
      </c>
      <c r="AK11" s="10" t="str">
        <f t="shared" si="17"/>
        <v/>
      </c>
      <c r="AL11" s="10" t="str">
        <f t="shared" si="18"/>
        <v/>
      </c>
      <c r="AM11" s="10" t="str">
        <f t="shared" si="19"/>
        <v/>
      </c>
      <c r="AN11" s="10" t="str">
        <f t="shared" si="20"/>
        <v/>
      </c>
      <c r="AO11" s="11" t="str">
        <f t="shared" si="21"/>
        <v/>
      </c>
      <c r="AP11" s="7"/>
    </row>
    <row r="12" spans="1:42" x14ac:dyDescent="0.25">
      <c r="A12" s="23">
        <v>9</v>
      </c>
      <c r="B12" s="41" t="str">
        <f t="shared" si="3"/>
        <v/>
      </c>
      <c r="C12" s="42" t="str">
        <f t="shared" si="4"/>
        <v/>
      </c>
      <c r="D12" s="42" t="str">
        <f t="shared" si="4"/>
        <v/>
      </c>
      <c r="E12" s="42" t="str">
        <f t="shared" si="4"/>
        <v/>
      </c>
      <c r="F12" s="42" t="str">
        <f t="shared" si="4"/>
        <v/>
      </c>
      <c r="G12" s="42" t="str">
        <f t="shared" si="4"/>
        <v/>
      </c>
      <c r="H12" s="42" t="str">
        <f t="shared" si="4"/>
        <v/>
      </c>
      <c r="I12" s="42" t="str">
        <f t="shared" si="4"/>
        <v/>
      </c>
      <c r="J12" s="42" t="str">
        <f t="shared" si="5"/>
        <v/>
      </c>
      <c r="K12" s="42" t="str">
        <f t="shared" si="5"/>
        <v/>
      </c>
      <c r="L12" s="42" t="str">
        <f t="shared" si="5"/>
        <v/>
      </c>
      <c r="M12" s="42" t="str">
        <f t="shared" si="5"/>
        <v/>
      </c>
      <c r="N12" s="42" t="str">
        <f t="shared" si="5"/>
        <v/>
      </c>
      <c r="O12" s="42" t="str">
        <f t="shared" si="5"/>
        <v/>
      </c>
      <c r="P12" s="42" t="str">
        <f t="shared" si="5"/>
        <v/>
      </c>
      <c r="Q12" s="43" t="str">
        <f t="shared" si="5"/>
        <v/>
      </c>
      <c r="S12" s="112"/>
      <c r="T12" s="53"/>
      <c r="U12" s="15" t="e">
        <f t="shared" si="22"/>
        <v>#VALUE!</v>
      </c>
      <c r="V12" s="16" t="e">
        <f>MID($S$4,FIND(U22,$S$4,U12)+V22,FIND(",",$S$4,FIND(U22,$S$4,U12))-(FIND(U22,$S$4,U12)+V22))</f>
        <v>#VALUE!</v>
      </c>
      <c r="W12" s="16" t="e">
        <f t="shared" si="23"/>
        <v>#VALUE!</v>
      </c>
      <c r="X12" s="17" t="e">
        <f>MID($S$4,FIND(U22,$S$4,W12)+V22,FIND(",",$S$4,FIND(U22,$S$4,W12))-(FIND(U22,$S$4,W12)+V22))</f>
        <v>#VALUE!</v>
      </c>
      <c r="Z12" s="9" t="str">
        <f t="shared" si="6"/>
        <v/>
      </c>
      <c r="AA12" s="10" t="str">
        <f t="shared" si="7"/>
        <v/>
      </c>
      <c r="AB12" s="10" t="str">
        <f t="shared" si="8"/>
        <v/>
      </c>
      <c r="AC12" s="10" t="str">
        <f t="shared" si="9"/>
        <v/>
      </c>
      <c r="AD12" s="10" t="str">
        <f t="shared" si="10"/>
        <v/>
      </c>
      <c r="AE12" s="10" t="str">
        <f t="shared" si="11"/>
        <v/>
      </c>
      <c r="AF12" s="10" t="str">
        <f t="shared" si="12"/>
        <v/>
      </c>
      <c r="AG12" s="10" t="str">
        <f t="shared" si="13"/>
        <v/>
      </c>
      <c r="AH12" s="10" t="str">
        <f t="shared" si="14"/>
        <v/>
      </c>
      <c r="AI12" s="10" t="str">
        <f t="shared" si="15"/>
        <v/>
      </c>
      <c r="AJ12" s="10" t="str">
        <f t="shared" si="16"/>
        <v/>
      </c>
      <c r="AK12" s="10" t="str">
        <f t="shared" si="17"/>
        <v/>
      </c>
      <c r="AL12" s="10" t="str">
        <f t="shared" si="18"/>
        <v/>
      </c>
      <c r="AM12" s="10" t="str">
        <f t="shared" si="19"/>
        <v/>
      </c>
      <c r="AN12" s="10" t="str">
        <f t="shared" si="20"/>
        <v/>
      </c>
      <c r="AO12" s="11" t="str">
        <f t="shared" si="21"/>
        <v/>
      </c>
      <c r="AP12" s="7"/>
    </row>
    <row r="13" spans="1:42" x14ac:dyDescent="0.25">
      <c r="A13" s="23">
        <v>10</v>
      </c>
      <c r="B13" s="41" t="str">
        <f t="shared" si="3"/>
        <v/>
      </c>
      <c r="C13" s="42" t="str">
        <f t="shared" si="4"/>
        <v/>
      </c>
      <c r="D13" s="42" t="str">
        <f t="shared" si="4"/>
        <v/>
      </c>
      <c r="E13" s="42" t="str">
        <f t="shared" si="4"/>
        <v/>
      </c>
      <c r="F13" s="42" t="str">
        <f t="shared" si="4"/>
        <v/>
      </c>
      <c r="G13" s="42" t="str">
        <f t="shared" si="4"/>
        <v/>
      </c>
      <c r="H13" s="42" t="str">
        <f t="shared" si="4"/>
        <v/>
      </c>
      <c r="I13" s="42" t="str">
        <f t="shared" si="4"/>
        <v/>
      </c>
      <c r="J13" s="42" t="str">
        <f t="shared" si="5"/>
        <v/>
      </c>
      <c r="K13" s="42" t="str">
        <f t="shared" si="5"/>
        <v/>
      </c>
      <c r="L13" s="42" t="str">
        <f t="shared" si="5"/>
        <v/>
      </c>
      <c r="M13" s="42" t="str">
        <f t="shared" si="5"/>
        <v/>
      </c>
      <c r="N13" s="42" t="str">
        <f t="shared" si="5"/>
        <v/>
      </c>
      <c r="O13" s="42" t="str">
        <f t="shared" si="5"/>
        <v/>
      </c>
      <c r="P13" s="42" t="str">
        <f t="shared" si="5"/>
        <v/>
      </c>
      <c r="Q13" s="43" t="str">
        <f t="shared" si="5"/>
        <v/>
      </c>
      <c r="S13" s="112"/>
      <c r="T13" s="53"/>
      <c r="U13" s="15" t="e">
        <f t="shared" si="22"/>
        <v>#VALUE!</v>
      </c>
      <c r="V13" s="16" t="e">
        <f>MID($S$4,FIND(U22,$S$4,U13)+V22,FIND(",",$S$4,FIND(U22,$S$4,U13))-(FIND(U22,$S$4,U13)+V22))</f>
        <v>#VALUE!</v>
      </c>
      <c r="W13" s="16" t="e">
        <f t="shared" si="23"/>
        <v>#VALUE!</v>
      </c>
      <c r="X13" s="17" t="e">
        <f>MID($S$4,FIND(U22,$S$4,W13)+V22,FIND(",",$S$4,FIND(U22,$S$4,W13))-(FIND(U22,$S$4,W13)+V22))</f>
        <v>#VALUE!</v>
      </c>
      <c r="Z13" s="9" t="str">
        <f t="shared" si="6"/>
        <v/>
      </c>
      <c r="AA13" s="10" t="str">
        <f t="shared" si="7"/>
        <v/>
      </c>
      <c r="AB13" s="10" t="str">
        <f t="shared" si="8"/>
        <v/>
      </c>
      <c r="AC13" s="10" t="str">
        <f t="shared" si="9"/>
        <v/>
      </c>
      <c r="AD13" s="10" t="str">
        <f t="shared" si="10"/>
        <v/>
      </c>
      <c r="AE13" s="10" t="str">
        <f t="shared" si="11"/>
        <v/>
      </c>
      <c r="AF13" s="10" t="str">
        <f t="shared" si="12"/>
        <v/>
      </c>
      <c r="AG13" s="10" t="str">
        <f t="shared" si="13"/>
        <v/>
      </c>
      <c r="AH13" s="10" t="str">
        <f t="shared" si="14"/>
        <v/>
      </c>
      <c r="AI13" s="10" t="str">
        <f t="shared" si="15"/>
        <v/>
      </c>
      <c r="AJ13" s="10" t="str">
        <f t="shared" si="16"/>
        <v/>
      </c>
      <c r="AK13" s="10" t="str">
        <f t="shared" si="17"/>
        <v/>
      </c>
      <c r="AL13" s="10" t="str">
        <f t="shared" si="18"/>
        <v/>
      </c>
      <c r="AM13" s="10" t="str">
        <f t="shared" si="19"/>
        <v/>
      </c>
      <c r="AN13" s="10" t="str">
        <f t="shared" si="20"/>
        <v/>
      </c>
      <c r="AO13" s="11" t="str">
        <f t="shared" si="21"/>
        <v/>
      </c>
      <c r="AP13" s="7"/>
    </row>
    <row r="14" spans="1:42" x14ac:dyDescent="0.25">
      <c r="A14" s="23">
        <v>11</v>
      </c>
      <c r="B14" s="41" t="str">
        <f t="shared" si="3"/>
        <v/>
      </c>
      <c r="C14" s="42" t="str">
        <f t="shared" si="4"/>
        <v/>
      </c>
      <c r="D14" s="42" t="str">
        <f t="shared" si="4"/>
        <v/>
      </c>
      <c r="E14" s="42" t="str">
        <f t="shared" si="4"/>
        <v/>
      </c>
      <c r="F14" s="42" t="str">
        <f t="shared" si="4"/>
        <v/>
      </c>
      <c r="G14" s="42" t="str">
        <f t="shared" si="4"/>
        <v/>
      </c>
      <c r="H14" s="42" t="str">
        <f t="shared" si="4"/>
        <v/>
      </c>
      <c r="I14" s="42" t="str">
        <f t="shared" si="4"/>
        <v/>
      </c>
      <c r="J14" s="42" t="str">
        <f t="shared" si="5"/>
        <v/>
      </c>
      <c r="K14" s="42" t="str">
        <f t="shared" si="5"/>
        <v/>
      </c>
      <c r="L14" s="42" t="str">
        <f t="shared" si="5"/>
        <v/>
      </c>
      <c r="M14" s="42" t="str">
        <f t="shared" si="5"/>
        <v/>
      </c>
      <c r="N14" s="42" t="str">
        <f t="shared" si="5"/>
        <v/>
      </c>
      <c r="O14" s="42" t="str">
        <f t="shared" si="5"/>
        <v/>
      </c>
      <c r="P14" s="42" t="str">
        <f t="shared" si="5"/>
        <v/>
      </c>
      <c r="Q14" s="43" t="str">
        <f t="shared" si="5"/>
        <v/>
      </c>
      <c r="S14" s="112"/>
      <c r="T14" s="53"/>
      <c r="U14" s="15" t="e">
        <f t="shared" si="22"/>
        <v>#VALUE!</v>
      </c>
      <c r="V14" s="16" t="e">
        <f>MID($S$4,FIND(U22,$S$4,U14)+V22,FIND(",",$S$4,FIND(U22,$S$4,U14))-(FIND(U22,$S$4,U14)+V22))</f>
        <v>#VALUE!</v>
      </c>
      <c r="W14" s="16" t="e">
        <f t="shared" si="23"/>
        <v>#VALUE!</v>
      </c>
      <c r="X14" s="17" t="e">
        <f>MID($S$4,FIND(U22,$S$4,W14)+V22,FIND(",",$S$4,FIND(U22,$S$4,W14))-(FIND(U22,$S$4,W14)+V22))</f>
        <v>#VALUE!</v>
      </c>
      <c r="Z14" s="9" t="str">
        <f t="shared" si="6"/>
        <v/>
      </c>
      <c r="AA14" s="10" t="str">
        <f t="shared" si="7"/>
        <v/>
      </c>
      <c r="AB14" s="10" t="str">
        <f t="shared" si="8"/>
        <v/>
      </c>
      <c r="AC14" s="10" t="str">
        <f t="shared" si="9"/>
        <v/>
      </c>
      <c r="AD14" s="10" t="str">
        <f t="shared" si="10"/>
        <v/>
      </c>
      <c r="AE14" s="10" t="str">
        <f t="shared" si="11"/>
        <v/>
      </c>
      <c r="AF14" s="10" t="str">
        <f t="shared" si="12"/>
        <v/>
      </c>
      <c r="AG14" s="10" t="str">
        <f t="shared" si="13"/>
        <v/>
      </c>
      <c r="AH14" s="10" t="str">
        <f t="shared" si="14"/>
        <v/>
      </c>
      <c r="AI14" s="10" t="str">
        <f t="shared" si="15"/>
        <v/>
      </c>
      <c r="AJ14" s="10" t="str">
        <f t="shared" si="16"/>
        <v/>
      </c>
      <c r="AK14" s="10" t="str">
        <f t="shared" si="17"/>
        <v/>
      </c>
      <c r="AL14" s="10" t="str">
        <f t="shared" si="18"/>
        <v/>
      </c>
      <c r="AM14" s="10" t="str">
        <f t="shared" si="19"/>
        <v/>
      </c>
      <c r="AN14" s="10" t="str">
        <f t="shared" si="20"/>
        <v/>
      </c>
      <c r="AO14" s="11" t="str">
        <f t="shared" si="21"/>
        <v/>
      </c>
      <c r="AP14" s="7"/>
    </row>
    <row r="15" spans="1:42" x14ac:dyDescent="0.25">
      <c r="A15" s="23">
        <v>12</v>
      </c>
      <c r="B15" s="41" t="str">
        <f t="shared" si="3"/>
        <v/>
      </c>
      <c r="C15" s="42" t="str">
        <f t="shared" si="4"/>
        <v/>
      </c>
      <c r="D15" s="42" t="str">
        <f t="shared" si="4"/>
        <v/>
      </c>
      <c r="E15" s="42" t="str">
        <f t="shared" si="4"/>
        <v/>
      </c>
      <c r="F15" s="42" t="str">
        <f t="shared" si="4"/>
        <v/>
      </c>
      <c r="G15" s="42" t="str">
        <f t="shared" si="4"/>
        <v/>
      </c>
      <c r="H15" s="42" t="str">
        <f t="shared" si="4"/>
        <v/>
      </c>
      <c r="I15" s="42" t="str">
        <f t="shared" si="4"/>
        <v/>
      </c>
      <c r="J15" s="42" t="str">
        <f t="shared" si="5"/>
        <v/>
      </c>
      <c r="K15" s="42" t="str">
        <f t="shared" si="5"/>
        <v/>
      </c>
      <c r="L15" s="42" t="str">
        <f t="shared" si="5"/>
        <v/>
      </c>
      <c r="M15" s="42" t="str">
        <f t="shared" si="5"/>
        <v/>
      </c>
      <c r="N15" s="42" t="str">
        <f t="shared" si="5"/>
        <v/>
      </c>
      <c r="O15" s="42" t="str">
        <f t="shared" si="5"/>
        <v/>
      </c>
      <c r="P15" s="42" t="str">
        <f t="shared" si="5"/>
        <v/>
      </c>
      <c r="Q15" s="43" t="str">
        <f t="shared" si="5"/>
        <v/>
      </c>
      <c r="S15" s="112"/>
      <c r="T15" s="53"/>
      <c r="U15" s="15" t="e">
        <f t="shared" si="22"/>
        <v>#VALUE!</v>
      </c>
      <c r="V15" s="16" t="e">
        <f>MID($S$4,FIND(U22,$S$4,U15)+V22,FIND(",",$S$4,FIND(U22,$S$4,U15))-(FIND(U22,$S$4,U15)+V22))</f>
        <v>#VALUE!</v>
      </c>
      <c r="W15" s="16" t="e">
        <f t="shared" si="23"/>
        <v>#VALUE!</v>
      </c>
      <c r="X15" s="17" t="e">
        <f>MID($S$4,FIND(U22,$S$4,W15)+V22,FIND(",",$S$4,FIND(U22,$S$4,W15))-(FIND(U22,$S$4,W15)+V22))</f>
        <v>#VALUE!</v>
      </c>
      <c r="Z15" s="9" t="str">
        <f t="shared" si="6"/>
        <v/>
      </c>
      <c r="AA15" s="10" t="str">
        <f t="shared" si="7"/>
        <v/>
      </c>
      <c r="AB15" s="10" t="str">
        <f t="shared" si="8"/>
        <v/>
      </c>
      <c r="AC15" s="10" t="str">
        <f t="shared" si="9"/>
        <v/>
      </c>
      <c r="AD15" s="10" t="str">
        <f t="shared" si="10"/>
        <v/>
      </c>
      <c r="AE15" s="10" t="str">
        <f t="shared" si="11"/>
        <v/>
      </c>
      <c r="AF15" s="10" t="str">
        <f t="shared" si="12"/>
        <v/>
      </c>
      <c r="AG15" s="10" t="str">
        <f t="shared" si="13"/>
        <v/>
      </c>
      <c r="AH15" s="10" t="str">
        <f t="shared" si="14"/>
        <v/>
      </c>
      <c r="AI15" s="10" t="str">
        <f t="shared" si="15"/>
        <v/>
      </c>
      <c r="AJ15" s="10" t="str">
        <f t="shared" si="16"/>
        <v/>
      </c>
      <c r="AK15" s="10" t="str">
        <f t="shared" si="17"/>
        <v/>
      </c>
      <c r="AL15" s="10" t="str">
        <f t="shared" si="18"/>
        <v/>
      </c>
      <c r="AM15" s="10" t="str">
        <f t="shared" si="19"/>
        <v/>
      </c>
      <c r="AN15" s="10" t="str">
        <f t="shared" si="20"/>
        <v/>
      </c>
      <c r="AO15" s="11" t="str">
        <f t="shared" si="21"/>
        <v/>
      </c>
      <c r="AP15" s="7"/>
    </row>
    <row r="16" spans="1:42" x14ac:dyDescent="0.25">
      <c r="A16" s="23">
        <v>13</v>
      </c>
      <c r="B16" s="41" t="str">
        <f t="shared" si="3"/>
        <v/>
      </c>
      <c r="C16" s="42" t="str">
        <f t="shared" si="4"/>
        <v/>
      </c>
      <c r="D16" s="42" t="str">
        <f t="shared" si="4"/>
        <v/>
      </c>
      <c r="E16" s="42" t="str">
        <f t="shared" si="4"/>
        <v/>
      </c>
      <c r="F16" s="42" t="str">
        <f t="shared" si="4"/>
        <v/>
      </c>
      <c r="G16" s="42" t="str">
        <f t="shared" si="4"/>
        <v/>
      </c>
      <c r="H16" s="42" t="str">
        <f t="shared" si="4"/>
        <v/>
      </c>
      <c r="I16" s="42" t="str">
        <f t="shared" si="4"/>
        <v/>
      </c>
      <c r="J16" s="42" t="str">
        <f t="shared" si="5"/>
        <v/>
      </c>
      <c r="K16" s="42" t="str">
        <f t="shared" si="5"/>
        <v/>
      </c>
      <c r="L16" s="42" t="str">
        <f t="shared" si="5"/>
        <v/>
      </c>
      <c r="M16" s="42" t="str">
        <f t="shared" si="5"/>
        <v/>
      </c>
      <c r="N16" s="42" t="str">
        <f t="shared" si="5"/>
        <v/>
      </c>
      <c r="O16" s="42" t="str">
        <f t="shared" si="5"/>
        <v/>
      </c>
      <c r="P16" s="42" t="str">
        <f t="shared" si="5"/>
        <v/>
      </c>
      <c r="Q16" s="43" t="str">
        <f t="shared" si="5"/>
        <v/>
      </c>
      <c r="S16" s="112"/>
      <c r="T16" s="53"/>
      <c r="U16" s="15" t="e">
        <f t="shared" si="22"/>
        <v>#VALUE!</v>
      </c>
      <c r="V16" s="16" t="e">
        <f>MID($S$4,FIND(U22,$S$4,U16)+V22,FIND(",",$S$4,FIND(U22,$S$4,U16))-(FIND(U22,$S$4,U16)+V22))</f>
        <v>#VALUE!</v>
      </c>
      <c r="W16" s="16" t="e">
        <f t="shared" si="23"/>
        <v>#VALUE!</v>
      </c>
      <c r="X16" s="17" t="e">
        <f>MID($S$4,FIND(U22,$S$4,W16)+V22,FIND(",",$S$4,FIND(U22,$S$4,W16))-(FIND(U22,$S$4,W16)+V22))</f>
        <v>#VALUE!</v>
      </c>
      <c r="Z16" s="9" t="str">
        <f t="shared" si="6"/>
        <v/>
      </c>
      <c r="AA16" s="10" t="str">
        <f t="shared" si="7"/>
        <v/>
      </c>
      <c r="AB16" s="10" t="str">
        <f t="shared" si="8"/>
        <v/>
      </c>
      <c r="AC16" s="10" t="str">
        <f t="shared" si="9"/>
        <v/>
      </c>
      <c r="AD16" s="10" t="str">
        <f t="shared" si="10"/>
        <v/>
      </c>
      <c r="AE16" s="10" t="str">
        <f t="shared" si="11"/>
        <v/>
      </c>
      <c r="AF16" s="10" t="str">
        <f t="shared" si="12"/>
        <v/>
      </c>
      <c r="AG16" s="10" t="str">
        <f t="shared" si="13"/>
        <v/>
      </c>
      <c r="AH16" s="10" t="str">
        <f t="shared" si="14"/>
        <v/>
      </c>
      <c r="AI16" s="10" t="str">
        <f t="shared" si="15"/>
        <v/>
      </c>
      <c r="AJ16" s="10" t="str">
        <f t="shared" si="16"/>
        <v/>
      </c>
      <c r="AK16" s="10" t="str">
        <f t="shared" si="17"/>
        <v/>
      </c>
      <c r="AL16" s="10" t="str">
        <f t="shared" si="18"/>
        <v/>
      </c>
      <c r="AM16" s="10" t="str">
        <f t="shared" si="19"/>
        <v/>
      </c>
      <c r="AN16" s="10" t="str">
        <f t="shared" si="20"/>
        <v/>
      </c>
      <c r="AO16" s="11" t="str">
        <f t="shared" si="21"/>
        <v/>
      </c>
      <c r="AP16" s="7"/>
    </row>
    <row r="17" spans="1:42" x14ac:dyDescent="0.25">
      <c r="A17" s="23">
        <v>14</v>
      </c>
      <c r="B17" s="41" t="str">
        <f t="shared" si="3"/>
        <v/>
      </c>
      <c r="C17" s="42" t="str">
        <f t="shared" si="4"/>
        <v/>
      </c>
      <c r="D17" s="42" t="str">
        <f t="shared" si="4"/>
        <v/>
      </c>
      <c r="E17" s="42" t="str">
        <f t="shared" si="4"/>
        <v/>
      </c>
      <c r="F17" s="42" t="str">
        <f t="shared" si="4"/>
        <v/>
      </c>
      <c r="G17" s="42" t="str">
        <f t="shared" si="4"/>
        <v/>
      </c>
      <c r="H17" s="42" t="str">
        <f t="shared" si="4"/>
        <v/>
      </c>
      <c r="I17" s="42" t="str">
        <f t="shared" si="4"/>
        <v/>
      </c>
      <c r="J17" s="42" t="str">
        <f t="shared" si="5"/>
        <v/>
      </c>
      <c r="K17" s="42" t="str">
        <f t="shared" si="5"/>
        <v/>
      </c>
      <c r="L17" s="42" t="str">
        <f t="shared" si="5"/>
        <v/>
      </c>
      <c r="M17" s="42" t="str">
        <f t="shared" si="5"/>
        <v/>
      </c>
      <c r="N17" s="42" t="str">
        <f t="shared" si="5"/>
        <v/>
      </c>
      <c r="O17" s="42" t="str">
        <f t="shared" si="5"/>
        <v/>
      </c>
      <c r="P17" s="42" t="str">
        <f t="shared" si="5"/>
        <v/>
      </c>
      <c r="Q17" s="43" t="str">
        <f t="shared" si="5"/>
        <v/>
      </c>
      <c r="S17" s="112"/>
      <c r="T17" s="53"/>
      <c r="U17" s="15" t="e">
        <f t="shared" si="22"/>
        <v>#VALUE!</v>
      </c>
      <c r="V17" s="16" t="e">
        <f>MID($S$4,FIND(U22,$S$4,U17)+V22,FIND(",",$S$4,FIND(U22,$S$4,U17))-(FIND(U22,$S$4,U17)+V22))</f>
        <v>#VALUE!</v>
      </c>
      <c r="W17" s="16" t="e">
        <f t="shared" si="23"/>
        <v>#VALUE!</v>
      </c>
      <c r="X17" s="17" t="e">
        <f>MID($S$4,FIND(U22,$S$4,W17)+V22,FIND(",",$S$4,FIND(U22,$S$4,W17))-(FIND(U22,$S$4,W17)+V22))</f>
        <v>#VALUE!</v>
      </c>
      <c r="Z17" s="9" t="str">
        <f t="shared" si="6"/>
        <v/>
      </c>
      <c r="AA17" s="10" t="str">
        <f t="shared" si="7"/>
        <v/>
      </c>
      <c r="AB17" s="10" t="str">
        <f t="shared" si="8"/>
        <v/>
      </c>
      <c r="AC17" s="10" t="str">
        <f t="shared" si="9"/>
        <v/>
      </c>
      <c r="AD17" s="10" t="str">
        <f t="shared" si="10"/>
        <v/>
      </c>
      <c r="AE17" s="10" t="str">
        <f t="shared" si="11"/>
        <v/>
      </c>
      <c r="AF17" s="10" t="str">
        <f t="shared" si="12"/>
        <v/>
      </c>
      <c r="AG17" s="10" t="str">
        <f t="shared" si="13"/>
        <v/>
      </c>
      <c r="AH17" s="10" t="str">
        <f t="shared" si="14"/>
        <v/>
      </c>
      <c r="AI17" s="10" t="str">
        <f t="shared" si="15"/>
        <v/>
      </c>
      <c r="AJ17" s="10" t="str">
        <f t="shared" si="16"/>
        <v/>
      </c>
      <c r="AK17" s="10" t="str">
        <f t="shared" si="17"/>
        <v/>
      </c>
      <c r="AL17" s="10" t="str">
        <f t="shared" si="18"/>
        <v/>
      </c>
      <c r="AM17" s="10" t="str">
        <f t="shared" si="19"/>
        <v/>
      </c>
      <c r="AN17" s="10" t="str">
        <f t="shared" si="20"/>
        <v/>
      </c>
      <c r="AO17" s="11" t="str">
        <f t="shared" si="21"/>
        <v/>
      </c>
      <c r="AP17" s="7"/>
    </row>
    <row r="18" spans="1:42" x14ac:dyDescent="0.25">
      <c r="A18" s="23">
        <v>15</v>
      </c>
      <c r="B18" s="41" t="str">
        <f t="shared" si="3"/>
        <v/>
      </c>
      <c r="C18" s="42" t="str">
        <f t="shared" si="4"/>
        <v/>
      </c>
      <c r="D18" s="42" t="str">
        <f t="shared" si="4"/>
        <v/>
      </c>
      <c r="E18" s="42" t="str">
        <f t="shared" si="4"/>
        <v/>
      </c>
      <c r="F18" s="42" t="str">
        <f t="shared" si="4"/>
        <v/>
      </c>
      <c r="G18" s="42" t="str">
        <f t="shared" si="4"/>
        <v/>
      </c>
      <c r="H18" s="42" t="str">
        <f t="shared" si="4"/>
        <v/>
      </c>
      <c r="I18" s="42" t="str">
        <f t="shared" si="4"/>
        <v/>
      </c>
      <c r="J18" s="42" t="str">
        <f t="shared" si="5"/>
        <v/>
      </c>
      <c r="K18" s="42" t="str">
        <f t="shared" si="5"/>
        <v/>
      </c>
      <c r="L18" s="42" t="str">
        <f t="shared" si="5"/>
        <v/>
      </c>
      <c r="M18" s="42" t="str">
        <f t="shared" si="5"/>
        <v/>
      </c>
      <c r="N18" s="42" t="str">
        <f t="shared" si="5"/>
        <v/>
      </c>
      <c r="O18" s="42" t="str">
        <f t="shared" si="5"/>
        <v/>
      </c>
      <c r="P18" s="42" t="str">
        <f t="shared" si="5"/>
        <v/>
      </c>
      <c r="Q18" s="43" t="str">
        <f t="shared" si="5"/>
        <v/>
      </c>
      <c r="S18" s="112"/>
      <c r="T18" s="53"/>
      <c r="U18" s="15" t="e">
        <f t="shared" si="22"/>
        <v>#VALUE!</v>
      </c>
      <c r="V18" s="16" t="e">
        <f>MID($S$4,FIND(U22,$S$4,U18)+V22,FIND(",",$S$4,FIND(U22,$S$4,U18))-(FIND(U22,$S$4,U18)+V22))</f>
        <v>#VALUE!</v>
      </c>
      <c r="W18" s="16" t="e">
        <f t="shared" si="23"/>
        <v>#VALUE!</v>
      </c>
      <c r="X18" s="17" t="e">
        <f>MID($S$4,FIND(U22,$S$4,W18)+V22,FIND(",",$S$4,FIND(U22,$S$4,W18))-(FIND(U22,$S$4,W18)+V22))</f>
        <v>#VALUE!</v>
      </c>
      <c r="Z18" s="9" t="str">
        <f t="shared" si="6"/>
        <v/>
      </c>
      <c r="AA18" s="10" t="str">
        <f t="shared" si="7"/>
        <v/>
      </c>
      <c r="AB18" s="10" t="str">
        <f t="shared" si="8"/>
        <v/>
      </c>
      <c r="AC18" s="10" t="str">
        <f t="shared" si="9"/>
        <v/>
      </c>
      <c r="AD18" s="10" t="str">
        <f t="shared" si="10"/>
        <v/>
      </c>
      <c r="AE18" s="10" t="str">
        <f t="shared" si="11"/>
        <v/>
      </c>
      <c r="AF18" s="10" t="str">
        <f t="shared" si="12"/>
        <v/>
      </c>
      <c r="AG18" s="10" t="str">
        <f t="shared" si="13"/>
        <v/>
      </c>
      <c r="AH18" s="10" t="str">
        <f t="shared" si="14"/>
        <v/>
      </c>
      <c r="AI18" s="10" t="str">
        <f t="shared" si="15"/>
        <v/>
      </c>
      <c r="AJ18" s="10" t="str">
        <f t="shared" si="16"/>
        <v/>
      </c>
      <c r="AK18" s="10" t="str">
        <f t="shared" si="17"/>
        <v/>
      </c>
      <c r="AL18" s="10" t="str">
        <f t="shared" si="18"/>
        <v/>
      </c>
      <c r="AM18" s="10" t="str">
        <f t="shared" si="19"/>
        <v/>
      </c>
      <c r="AN18" s="10" t="str">
        <f t="shared" si="20"/>
        <v/>
      </c>
      <c r="AO18" s="11" t="str">
        <f t="shared" si="21"/>
        <v/>
      </c>
      <c r="AP18" s="7"/>
    </row>
    <row r="19" spans="1:42" ht="15.75" thickBot="1" x14ac:dyDescent="0.3">
      <c r="A19" s="23">
        <v>16</v>
      </c>
      <c r="B19" s="44" t="str">
        <f t="shared" si="3"/>
        <v/>
      </c>
      <c r="C19" s="45" t="str">
        <f t="shared" si="4"/>
        <v/>
      </c>
      <c r="D19" s="45" t="str">
        <f t="shared" si="4"/>
        <v/>
      </c>
      <c r="E19" s="45" t="str">
        <f t="shared" si="4"/>
        <v/>
      </c>
      <c r="F19" s="45" t="str">
        <f t="shared" si="4"/>
        <v/>
      </c>
      <c r="G19" s="45" t="str">
        <f t="shared" si="4"/>
        <v/>
      </c>
      <c r="H19" s="45" t="str">
        <f t="shared" si="4"/>
        <v/>
      </c>
      <c r="I19" s="45" t="str">
        <f t="shared" si="4"/>
        <v/>
      </c>
      <c r="J19" s="45" t="str">
        <f t="shared" si="5"/>
        <v/>
      </c>
      <c r="K19" s="45" t="str">
        <f t="shared" si="5"/>
        <v/>
      </c>
      <c r="L19" s="45" t="str">
        <f t="shared" si="5"/>
        <v/>
      </c>
      <c r="M19" s="45" t="str">
        <f t="shared" si="5"/>
        <v/>
      </c>
      <c r="N19" s="45" t="str">
        <f t="shared" si="5"/>
        <v/>
      </c>
      <c r="O19" s="45" t="str">
        <f t="shared" si="5"/>
        <v/>
      </c>
      <c r="P19" s="45" t="str">
        <f t="shared" si="5"/>
        <v/>
      </c>
      <c r="Q19" s="46" t="str">
        <f t="shared" si="5"/>
        <v/>
      </c>
      <c r="S19" s="113"/>
      <c r="T19" s="53"/>
      <c r="U19" s="18" t="e">
        <f t="shared" si="22"/>
        <v>#VALUE!</v>
      </c>
      <c r="V19" s="19" t="e">
        <f>MID($S$4,FIND(U22,$S$4,U19)+V22,FIND(",",$S$4,FIND(U22,$S$4,U19))-(FIND(U22,$S$4,U19)+V22))</f>
        <v>#VALUE!</v>
      </c>
      <c r="W19" s="19" t="e">
        <f t="shared" si="23"/>
        <v>#VALUE!</v>
      </c>
      <c r="X19" s="14" t="e">
        <f>IFERROR(MID($S$4,FIND(U22,$S$4,W19)+V22,FIND(",",$S$4,FIND(U22,$S$4,W19))-(FIND(U22,$S$4,W19)+V22)),MID($S$4,FIND(U22,$S$4,W19)+V22,FIND("}",$S$4,FIND(U22,$S$4,W19))-(FIND(U22,$S$4,W19)+V22)))</f>
        <v>#VALUE!</v>
      </c>
      <c r="Z19" s="12" t="str">
        <f t="shared" si="6"/>
        <v/>
      </c>
      <c r="AA19" s="13" t="str">
        <f t="shared" si="7"/>
        <v/>
      </c>
      <c r="AB19" s="13" t="str">
        <f t="shared" si="8"/>
        <v/>
      </c>
      <c r="AC19" s="13" t="str">
        <f t="shared" si="9"/>
        <v/>
      </c>
      <c r="AD19" s="13" t="str">
        <f t="shared" si="10"/>
        <v/>
      </c>
      <c r="AE19" s="13" t="str">
        <f t="shared" si="11"/>
        <v/>
      </c>
      <c r="AF19" s="13" t="str">
        <f t="shared" si="12"/>
        <v/>
      </c>
      <c r="AG19" s="13" t="str">
        <f t="shared" si="13"/>
        <v/>
      </c>
      <c r="AH19" s="13" t="str">
        <f t="shared" si="14"/>
        <v/>
      </c>
      <c r="AI19" s="13" t="str">
        <f t="shared" si="15"/>
        <v/>
      </c>
      <c r="AJ19" s="13" t="str">
        <f t="shared" si="16"/>
        <v/>
      </c>
      <c r="AK19" s="13" t="str">
        <f t="shared" si="17"/>
        <v/>
      </c>
      <c r="AL19" s="13" t="str">
        <f t="shared" si="18"/>
        <v/>
      </c>
      <c r="AM19" s="13" t="str">
        <f t="shared" si="19"/>
        <v/>
      </c>
      <c r="AN19" s="13" t="str">
        <f t="shared" si="20"/>
        <v/>
      </c>
      <c r="AO19" s="14" t="str">
        <f t="shared" si="21"/>
        <v/>
      </c>
      <c r="AP19" s="7"/>
    </row>
    <row r="20" spans="1:42" x14ac:dyDescent="0.25">
      <c r="U20" s="76" t="s">
        <v>26</v>
      </c>
      <c r="V20" s="77">
        <v>1</v>
      </c>
    </row>
    <row r="21" spans="1:42" x14ac:dyDescent="0.25">
      <c r="B21" s="64"/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U21" s="76" t="s">
        <v>27</v>
      </c>
      <c r="V21" s="77"/>
    </row>
    <row r="22" spans="1:42" x14ac:dyDescent="0.25">
      <c r="U22" s="76" t="str">
        <f>IF(V20=1,U20,U21)</f>
        <v>0b</v>
      </c>
      <c r="V22" s="77">
        <f>IF(V20=1,2,1)</f>
        <v>2</v>
      </c>
    </row>
    <row r="23" spans="1:42" x14ac:dyDescent="0.25"/>
    <row r="24" spans="1:42" x14ac:dyDescent="0.25"/>
  </sheetData>
  <sheetProtection sheet="1" objects="1" scenarios="1" selectLockedCells="1"/>
  <mergeCells count="5">
    <mergeCell ref="G2:Q2"/>
    <mergeCell ref="Z3:AO3"/>
    <mergeCell ref="S4:S19"/>
    <mergeCell ref="U2:X2"/>
    <mergeCell ref="B2:F2"/>
  </mergeCells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TextBox1">
          <controlPr defaultSize="0" autoLine="0" autoPict="0" r:id="rId5">
            <anchor moveWithCells="1">
              <from>
                <xdr:col>18</xdr:col>
                <xdr:colOff>9525</xdr:colOff>
                <xdr:row>3</xdr:row>
                <xdr:rowOff>9525</xdr:rowOff>
              </from>
              <to>
                <xdr:col>18</xdr:col>
                <xdr:colOff>3209925</xdr:colOff>
                <xdr:row>19</xdr:row>
                <xdr:rowOff>0</xdr:rowOff>
              </to>
            </anchor>
          </controlPr>
        </control>
      </mc:Choice>
      <mc:Fallback>
        <control shapeId="2049" r:id="rId4" name="TextBox1"/>
      </mc:Fallback>
    </mc:AlternateContent>
    <mc:AlternateContent xmlns:mc="http://schemas.openxmlformats.org/markup-compatibility/2006">
      <mc:Choice Requires="x14">
        <control shapeId="2050" r:id="rId6" name="Editar">
          <controlPr defaultSize="0" autoLine="0" r:id="rId7">
            <anchor moveWithCells="1">
              <from>
                <xdr:col>6</xdr:col>
                <xdr:colOff>180975</xdr:colOff>
                <xdr:row>20</xdr:row>
                <xdr:rowOff>9525</xdr:rowOff>
              </from>
              <to>
                <xdr:col>11</xdr:col>
                <xdr:colOff>142875</xdr:colOff>
                <xdr:row>21</xdr:row>
                <xdr:rowOff>123825</xdr:rowOff>
              </to>
            </anchor>
          </controlPr>
        </control>
      </mc:Choice>
      <mc:Fallback>
        <control shapeId="2050" r:id="rId6" name="Editar"/>
      </mc:Fallback>
    </mc:AlternateContent>
    <mc:AlternateContent xmlns:mc="http://schemas.openxmlformats.org/markup-compatibility/2006">
      <mc:Choice Requires="x14">
        <control shapeId="2051" r:id="rId8" name="BorrarDeco">
          <controlPr defaultSize="0" autoLine="0" r:id="rId9">
            <anchor moveWithCells="1">
              <from>
                <xdr:col>18</xdr:col>
                <xdr:colOff>1152525</xdr:colOff>
                <xdr:row>19</xdr:row>
                <xdr:rowOff>171450</xdr:rowOff>
              </from>
              <to>
                <xdr:col>18</xdr:col>
                <xdr:colOff>2066925</xdr:colOff>
                <xdr:row>21</xdr:row>
                <xdr:rowOff>95250</xdr:rowOff>
              </to>
            </anchor>
          </controlPr>
        </control>
      </mc:Choice>
      <mc:Fallback>
        <control shapeId="2051" r:id="rId8" name="BorrarDeco"/>
      </mc:Fallback>
    </mc:AlternateContent>
    <mc:AlternateContent xmlns:mc="http://schemas.openxmlformats.org/markup-compatibility/2006">
      <mc:Choice Requires="x14">
        <control shapeId="2054" r:id="rId10" name="Option Button 6">
          <controlPr defaultSize="0" autoFill="0" autoLine="0" autoPict="0">
            <anchor moveWithCells="1">
              <from>
                <xdr:col>18</xdr:col>
                <xdr:colOff>0</xdr:colOff>
                <xdr:row>19</xdr:row>
                <xdr:rowOff>76200</xdr:rowOff>
              </from>
              <to>
                <xdr:col>18</xdr:col>
                <xdr:colOff>1123950</xdr:colOff>
                <xdr:row>20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6" r:id="rId11" name="Option Button 8">
          <controlPr defaultSize="0" autoFill="0" autoLine="0" autoPict="0">
            <anchor moveWithCells="1">
              <from>
                <xdr:col>18</xdr:col>
                <xdr:colOff>0</xdr:colOff>
                <xdr:row>20</xdr:row>
                <xdr:rowOff>57150</xdr:rowOff>
              </from>
              <to>
                <xdr:col>18</xdr:col>
                <xdr:colOff>1123950</xdr:colOff>
                <xdr:row>21</xdr:row>
                <xdr:rowOff>76200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3F9A3DBF-595B-4DAF-A620-0CD29D56F49F}">
            <xm:f>NOT(ISERROR(SEARCH(1,B4)))</xm:f>
            <xm:f>1</xm:f>
            <x14:dxf>
              <font>
                <strike val="0"/>
                <color theme="1" tint="0.14996795556505021"/>
              </font>
              <fill>
                <patternFill>
                  <bgColor theme="1" tint="0.14996795556505021"/>
                </patternFill>
              </fill>
            </x14:dxf>
          </x14:cfRule>
          <xm:sqref>B4:Q19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37D8F-3B0B-46A7-8D44-11B4F6744A5E}">
  <sheetPr codeName="Hoja3"/>
  <dimension ref="A1:AP36"/>
  <sheetViews>
    <sheetView showGridLines="0" showRowColHeaders="0" workbookViewId="0">
      <selection activeCell="S4" sqref="S4"/>
    </sheetView>
  </sheetViews>
  <sheetFormatPr baseColWidth="10" defaultColWidth="0" defaultRowHeight="15" zeroHeight="1" outlineLevelCol="1" x14ac:dyDescent="0.25"/>
  <cols>
    <col min="1" max="17" width="2.85546875" customWidth="1"/>
    <col min="18" max="18" width="4.85546875" customWidth="1"/>
    <col min="19" max="19" width="11.42578125" customWidth="1"/>
    <col min="20" max="20" width="38.140625" customWidth="1"/>
    <col min="21" max="21" width="4" hidden="1" customWidth="1" outlineLevel="1"/>
    <col min="22" max="22" width="12.140625" hidden="1" customWidth="1" outlineLevel="1"/>
    <col min="23" max="23" width="4" hidden="1" customWidth="1" outlineLevel="1"/>
    <col min="24" max="24" width="12.5703125" hidden="1" customWidth="1" outlineLevel="1"/>
    <col min="25" max="25" width="3" hidden="1" customWidth="1" outlineLevel="1"/>
    <col min="26" max="41" width="2.85546875" hidden="1" customWidth="1" outlineLevel="1"/>
    <col min="42" max="42" width="2.140625" customWidth="1" collapsed="1"/>
    <col min="43" max="16384" width="11.42578125" hidden="1"/>
  </cols>
  <sheetData>
    <row r="1" spans="1:41" ht="15.75" x14ac:dyDescent="0.25">
      <c r="B1" s="116" t="s">
        <v>11</v>
      </c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</row>
    <row r="2" spans="1:41" ht="15.75" thickBot="1" x14ac:dyDescent="0.3">
      <c r="U2" s="114" t="s">
        <v>6</v>
      </c>
      <c r="V2" s="114"/>
      <c r="W2" s="114"/>
      <c r="X2" s="114"/>
    </row>
    <row r="3" spans="1:41" ht="15.75" thickBot="1" x14ac:dyDescent="0.3">
      <c r="B3" s="23">
        <v>1</v>
      </c>
      <c r="C3" s="23">
        <v>2</v>
      </c>
      <c r="D3" s="23">
        <v>3</v>
      </c>
      <c r="E3" s="23">
        <v>4</v>
      </c>
      <c r="F3" s="23">
        <v>5</v>
      </c>
      <c r="G3" s="23">
        <v>6</v>
      </c>
      <c r="H3" s="23">
        <v>7</v>
      </c>
      <c r="I3" s="23">
        <v>8</v>
      </c>
      <c r="J3" s="23">
        <v>9</v>
      </c>
      <c r="K3" s="23">
        <v>10</v>
      </c>
      <c r="L3" s="23">
        <v>11</v>
      </c>
      <c r="M3" s="23">
        <v>12</v>
      </c>
      <c r="N3" s="23">
        <v>13</v>
      </c>
      <c r="O3" s="23">
        <v>14</v>
      </c>
      <c r="P3" s="23">
        <v>15</v>
      </c>
      <c r="Q3" s="23">
        <v>16</v>
      </c>
      <c r="U3" s="54" t="s">
        <v>7</v>
      </c>
      <c r="V3" s="55" t="s">
        <v>4</v>
      </c>
      <c r="W3" s="55" t="s">
        <v>8</v>
      </c>
      <c r="X3" s="56" t="s">
        <v>5</v>
      </c>
      <c r="Z3" s="108" t="s">
        <v>9</v>
      </c>
      <c r="AA3" s="109"/>
      <c r="AB3" s="109"/>
      <c r="AC3" s="109"/>
      <c r="AD3" s="109"/>
      <c r="AE3" s="109"/>
      <c r="AF3" s="109"/>
      <c r="AG3" s="109"/>
      <c r="AH3" s="109"/>
      <c r="AI3" s="109"/>
      <c r="AJ3" s="109"/>
      <c r="AK3" s="109"/>
      <c r="AL3" s="109"/>
      <c r="AM3" s="109"/>
      <c r="AN3" s="109"/>
      <c r="AO3" s="110"/>
    </row>
    <row r="4" spans="1:41" ht="15" customHeight="1" x14ac:dyDescent="0.25">
      <c r="A4" s="23">
        <v>1</v>
      </c>
      <c r="B4" s="38" t="str">
        <f>IFERROR(MID($V4,$B$3,1),"")</f>
        <v>0</v>
      </c>
      <c r="C4" s="39" t="str">
        <f t="shared" ref="C4:I4" si="0">IFERROR(MID($V4,C$3,1),"")</f>
        <v>0</v>
      </c>
      <c r="D4" s="39" t="str">
        <f t="shared" si="0"/>
        <v>0</v>
      </c>
      <c r="E4" s="39" t="str">
        <f t="shared" si="0"/>
        <v>0</v>
      </c>
      <c r="F4" s="39" t="str">
        <f t="shared" si="0"/>
        <v>0</v>
      </c>
      <c r="G4" s="39" t="str">
        <f t="shared" si="0"/>
        <v>0</v>
      </c>
      <c r="H4" s="39" t="str">
        <f t="shared" si="0"/>
        <v>0</v>
      </c>
      <c r="I4" s="39" t="str">
        <f t="shared" si="0"/>
        <v>0</v>
      </c>
      <c r="J4" s="39" t="str">
        <f t="shared" ref="J4:Q4" si="1">IFERROR(MID($X4,J$3-8,1),"")</f>
        <v>0</v>
      </c>
      <c r="K4" s="39" t="str">
        <f t="shared" si="1"/>
        <v>0</v>
      </c>
      <c r="L4" s="39" t="str">
        <f t="shared" si="1"/>
        <v>0</v>
      </c>
      <c r="M4" s="39" t="str">
        <f t="shared" si="1"/>
        <v>0</v>
      </c>
      <c r="N4" s="39" t="str">
        <f t="shared" si="1"/>
        <v>0</v>
      </c>
      <c r="O4" s="39" t="str">
        <f t="shared" si="1"/>
        <v>0</v>
      </c>
      <c r="P4" s="39" t="str">
        <f t="shared" si="1"/>
        <v>0</v>
      </c>
      <c r="Q4" s="40" t="str">
        <f t="shared" si="1"/>
        <v>0</v>
      </c>
      <c r="S4" s="78" t="s">
        <v>33</v>
      </c>
      <c r="U4" s="15">
        <v>0</v>
      </c>
      <c r="V4" s="16" t="str">
        <f>MID($S$4,FIND("0b",$S$4)+2,FIND(",",$S$4,FIND("0b",$S$4))-(FIND("0b",$S$4)+2))</f>
        <v>00000000</v>
      </c>
      <c r="W4" s="16">
        <f>FIND(",",$S$4)</f>
        <v>38</v>
      </c>
      <c r="X4" s="17" t="str">
        <f>MID($S$4,FIND("0b",$S$4,W4)+2,FIND(",",$S$4,FIND("0b",$S$4,W4))-(FIND("0b",$S$4,W4)+2))</f>
        <v>00000000</v>
      </c>
      <c r="Z4" s="79" t="str">
        <f>B4</f>
        <v>0</v>
      </c>
      <c r="AA4" s="80" t="str">
        <f t="shared" ref="AA4:AO19" si="2">C4</f>
        <v>0</v>
      </c>
      <c r="AB4" s="80" t="str">
        <f t="shared" si="2"/>
        <v>0</v>
      </c>
      <c r="AC4" s="80" t="str">
        <f t="shared" si="2"/>
        <v>0</v>
      </c>
      <c r="AD4" s="80" t="str">
        <f t="shared" si="2"/>
        <v>0</v>
      </c>
      <c r="AE4" s="80" t="str">
        <f t="shared" si="2"/>
        <v>0</v>
      </c>
      <c r="AF4" s="80" t="str">
        <f t="shared" si="2"/>
        <v>0</v>
      </c>
      <c r="AG4" s="80" t="str">
        <f t="shared" si="2"/>
        <v>0</v>
      </c>
      <c r="AH4" s="80" t="str">
        <f t="shared" si="2"/>
        <v>0</v>
      </c>
      <c r="AI4" s="80" t="str">
        <f t="shared" si="2"/>
        <v>0</v>
      </c>
      <c r="AJ4" s="80" t="str">
        <f t="shared" si="2"/>
        <v>0</v>
      </c>
      <c r="AK4" s="80" t="str">
        <f t="shared" si="2"/>
        <v>0</v>
      </c>
      <c r="AL4" s="80" t="str">
        <f t="shared" si="2"/>
        <v>0</v>
      </c>
      <c r="AM4" s="80" t="str">
        <f t="shared" si="2"/>
        <v>0</v>
      </c>
      <c r="AN4" s="80" t="str">
        <f t="shared" si="2"/>
        <v>0</v>
      </c>
      <c r="AO4" s="81" t="str">
        <f t="shared" si="2"/>
        <v>0</v>
      </c>
    </row>
    <row r="5" spans="1:41" x14ac:dyDescent="0.25">
      <c r="A5" s="23">
        <v>2</v>
      </c>
      <c r="B5" s="41" t="str">
        <f t="shared" ref="B5:B19" si="3">IFERROR(MID($V5,$B$3,1),"")</f>
        <v>0</v>
      </c>
      <c r="C5" s="42" t="str">
        <f t="shared" ref="C5:I19" si="4">IFERROR(MID($V5,C$3,1),"")</f>
        <v>0</v>
      </c>
      <c r="D5" s="42" t="str">
        <f t="shared" si="4"/>
        <v>0</v>
      </c>
      <c r="E5" s="42" t="str">
        <f t="shared" si="4"/>
        <v>0</v>
      </c>
      <c r="F5" s="42" t="str">
        <f t="shared" si="4"/>
        <v>0</v>
      </c>
      <c r="G5" s="42" t="str">
        <f t="shared" si="4"/>
        <v>0</v>
      </c>
      <c r="H5" s="42" t="str">
        <f t="shared" si="4"/>
        <v>0</v>
      </c>
      <c r="I5" s="42" t="str">
        <f t="shared" si="4"/>
        <v>0</v>
      </c>
      <c r="J5" s="42" t="str">
        <f t="shared" ref="J5:Q19" si="5">IFERROR(MID($X5,J$3-8,1),"")</f>
        <v>0</v>
      </c>
      <c r="K5" s="42" t="str">
        <f t="shared" si="5"/>
        <v>0</v>
      </c>
      <c r="L5" s="42" t="str">
        <f t="shared" si="5"/>
        <v>0</v>
      </c>
      <c r="M5" s="42" t="str">
        <f t="shared" si="5"/>
        <v>0</v>
      </c>
      <c r="N5" s="42" t="str">
        <f t="shared" si="5"/>
        <v>0</v>
      </c>
      <c r="O5" s="42" t="str">
        <f t="shared" si="5"/>
        <v>0</v>
      </c>
      <c r="P5" s="42" t="str">
        <f t="shared" si="5"/>
        <v>0</v>
      </c>
      <c r="Q5" s="43" t="str">
        <f t="shared" si="5"/>
        <v>0</v>
      </c>
      <c r="U5" s="15">
        <f>FIND(",",$S$4,W4+1)</f>
        <v>50</v>
      </c>
      <c r="V5" s="16" t="str">
        <f>MID($S$4,FIND("0b",$S$4,U5)+2,FIND(",",$S$4,FIND("0b",$S$4,U5))-(FIND("0b",$S$4,U5)+2))</f>
        <v>00000000</v>
      </c>
      <c r="W5" s="16">
        <f>FIND(",",$S$4,U5+1)</f>
        <v>65</v>
      </c>
      <c r="X5" s="17" t="str">
        <f>MID($S$4,FIND("0b",$S$4,W5)+2,FIND(",",$S$4,FIND("0b",$S$4,W5))-(FIND("0b",$S$4,W5)+2))</f>
        <v>00000000</v>
      </c>
      <c r="Z5" s="79" t="str">
        <f t="shared" ref="Z5:Z19" si="6">B5</f>
        <v>0</v>
      </c>
      <c r="AA5" s="80" t="str">
        <f t="shared" si="2"/>
        <v>0</v>
      </c>
      <c r="AB5" s="80" t="str">
        <f t="shared" si="2"/>
        <v>0</v>
      </c>
      <c r="AC5" s="80" t="str">
        <f t="shared" si="2"/>
        <v>0</v>
      </c>
      <c r="AD5" s="80" t="str">
        <f t="shared" si="2"/>
        <v>0</v>
      </c>
      <c r="AE5" s="80" t="str">
        <f t="shared" si="2"/>
        <v>0</v>
      </c>
      <c r="AF5" s="80" t="str">
        <f t="shared" si="2"/>
        <v>0</v>
      </c>
      <c r="AG5" s="80" t="str">
        <f t="shared" si="2"/>
        <v>0</v>
      </c>
      <c r="AH5" s="80" t="str">
        <f t="shared" si="2"/>
        <v>0</v>
      </c>
      <c r="AI5" s="80" t="str">
        <f t="shared" si="2"/>
        <v>0</v>
      </c>
      <c r="AJ5" s="80" t="str">
        <f t="shared" si="2"/>
        <v>0</v>
      </c>
      <c r="AK5" s="80" t="str">
        <f t="shared" si="2"/>
        <v>0</v>
      </c>
      <c r="AL5" s="80" t="str">
        <f t="shared" si="2"/>
        <v>0</v>
      </c>
      <c r="AM5" s="80" t="str">
        <f t="shared" si="2"/>
        <v>0</v>
      </c>
      <c r="AN5" s="80" t="str">
        <f t="shared" si="2"/>
        <v>0</v>
      </c>
      <c r="AO5" s="81" t="str">
        <f t="shared" si="2"/>
        <v>0</v>
      </c>
    </row>
    <row r="6" spans="1:41" x14ac:dyDescent="0.25">
      <c r="A6" s="23">
        <v>3</v>
      </c>
      <c r="B6" s="41" t="str">
        <f t="shared" si="3"/>
        <v>0</v>
      </c>
      <c r="C6" s="42" t="str">
        <f t="shared" si="4"/>
        <v>0</v>
      </c>
      <c r="D6" s="42" t="str">
        <f t="shared" si="4"/>
        <v>0</v>
      </c>
      <c r="E6" s="42" t="str">
        <f t="shared" si="4"/>
        <v>0</v>
      </c>
      <c r="F6" s="42" t="str">
        <f t="shared" si="4"/>
        <v>0</v>
      </c>
      <c r="G6" s="42" t="str">
        <f t="shared" si="4"/>
        <v>0</v>
      </c>
      <c r="H6" s="42" t="str">
        <f t="shared" si="4"/>
        <v>1</v>
      </c>
      <c r="I6" s="42" t="str">
        <f t="shared" si="4"/>
        <v>1</v>
      </c>
      <c r="J6" s="42" t="str">
        <f t="shared" si="5"/>
        <v>1</v>
      </c>
      <c r="K6" s="42" t="str">
        <f t="shared" si="5"/>
        <v>1</v>
      </c>
      <c r="L6" s="42" t="str">
        <f t="shared" si="5"/>
        <v>1</v>
      </c>
      <c r="M6" s="42" t="str">
        <f t="shared" si="5"/>
        <v>0</v>
      </c>
      <c r="N6" s="42" t="str">
        <f t="shared" si="5"/>
        <v>0</v>
      </c>
      <c r="O6" s="42" t="str">
        <f t="shared" si="5"/>
        <v>0</v>
      </c>
      <c r="P6" s="42" t="str">
        <f t="shared" si="5"/>
        <v>0</v>
      </c>
      <c r="Q6" s="43" t="str">
        <f t="shared" si="5"/>
        <v>0</v>
      </c>
      <c r="U6" s="15">
        <f>FIND(",",$S$4,W5+1)</f>
        <v>77</v>
      </c>
      <c r="V6" s="16" t="str">
        <f t="shared" ref="V6:V7" si="7">MID($S$4,FIND("0b",$S$4,U6)+2,FIND(",",$S$4,FIND("0b",$S$4,U6))-(FIND("0b",$S$4,U6)+2))</f>
        <v>00000011</v>
      </c>
      <c r="W6" s="16">
        <f>FIND(",",$S$4,U6+1)</f>
        <v>92</v>
      </c>
      <c r="X6" s="17" t="str">
        <f t="shared" ref="X6:X18" si="8">MID($S$4,FIND("0b",$S$4,W6)+2,FIND(",",$S$4,FIND("0b",$S$4,W6))-(FIND("0b",$S$4,W6)+2))</f>
        <v>11100000</v>
      </c>
      <c r="Z6" s="79" t="str">
        <f t="shared" si="6"/>
        <v>0</v>
      </c>
      <c r="AA6" s="80" t="str">
        <f t="shared" si="2"/>
        <v>0</v>
      </c>
      <c r="AB6" s="80" t="str">
        <f t="shared" si="2"/>
        <v>0</v>
      </c>
      <c r="AC6" s="80" t="str">
        <f t="shared" si="2"/>
        <v>0</v>
      </c>
      <c r="AD6" s="80" t="str">
        <f t="shared" si="2"/>
        <v>0</v>
      </c>
      <c r="AE6" s="80" t="str">
        <f t="shared" si="2"/>
        <v>0</v>
      </c>
      <c r="AF6" s="80" t="str">
        <f t="shared" si="2"/>
        <v>1</v>
      </c>
      <c r="AG6" s="80" t="str">
        <f t="shared" si="2"/>
        <v>1</v>
      </c>
      <c r="AH6" s="80" t="str">
        <f t="shared" si="2"/>
        <v>1</v>
      </c>
      <c r="AI6" s="80" t="str">
        <f t="shared" si="2"/>
        <v>1</v>
      </c>
      <c r="AJ6" s="80" t="str">
        <f t="shared" si="2"/>
        <v>1</v>
      </c>
      <c r="AK6" s="80" t="str">
        <f t="shared" si="2"/>
        <v>0</v>
      </c>
      <c r="AL6" s="80" t="str">
        <f t="shared" si="2"/>
        <v>0</v>
      </c>
      <c r="AM6" s="80" t="str">
        <f t="shared" si="2"/>
        <v>0</v>
      </c>
      <c r="AN6" s="80" t="str">
        <f t="shared" si="2"/>
        <v>0</v>
      </c>
      <c r="AO6" s="81" t="str">
        <f t="shared" si="2"/>
        <v>0</v>
      </c>
    </row>
    <row r="7" spans="1:41" x14ac:dyDescent="0.25">
      <c r="A7" s="23">
        <v>4</v>
      </c>
      <c r="B7" s="41" t="str">
        <f t="shared" si="3"/>
        <v>0</v>
      </c>
      <c r="C7" s="42" t="str">
        <f t="shared" si="4"/>
        <v>0</v>
      </c>
      <c r="D7" s="42" t="str">
        <f t="shared" si="4"/>
        <v>0</v>
      </c>
      <c r="E7" s="42" t="str">
        <f t="shared" si="4"/>
        <v>0</v>
      </c>
      <c r="F7" s="42" t="str">
        <f t="shared" si="4"/>
        <v>0</v>
      </c>
      <c r="G7" s="42" t="str">
        <f t="shared" si="4"/>
        <v>1</v>
      </c>
      <c r="H7" s="42" t="str">
        <f t="shared" si="4"/>
        <v>1</v>
      </c>
      <c r="I7" s="42" t="str">
        <f t="shared" si="4"/>
        <v>1</v>
      </c>
      <c r="J7" s="42" t="str">
        <f t="shared" si="5"/>
        <v>1</v>
      </c>
      <c r="K7" s="42" t="str">
        <f t="shared" si="5"/>
        <v>1</v>
      </c>
      <c r="L7" s="42" t="str">
        <f t="shared" si="5"/>
        <v>1</v>
      </c>
      <c r="M7" s="42" t="str">
        <f t="shared" si="5"/>
        <v>1</v>
      </c>
      <c r="N7" s="42" t="str">
        <f t="shared" si="5"/>
        <v>0</v>
      </c>
      <c r="O7" s="42" t="str">
        <f t="shared" si="5"/>
        <v>0</v>
      </c>
      <c r="P7" s="42" t="str">
        <f t="shared" si="5"/>
        <v>0</v>
      </c>
      <c r="Q7" s="43" t="str">
        <f t="shared" si="5"/>
        <v>0</v>
      </c>
      <c r="U7" s="15">
        <f t="shared" ref="U7:U19" si="9">FIND(",",$S$4,W6+1)</f>
        <v>104</v>
      </c>
      <c r="V7" s="16" t="str">
        <f t="shared" si="7"/>
        <v>00000111</v>
      </c>
      <c r="W7" s="16">
        <f t="shared" ref="W7:W19" si="10">FIND(",",$S$4,U7+1)</f>
        <v>131</v>
      </c>
      <c r="X7" s="17" t="str">
        <f t="shared" si="8"/>
        <v>11110000</v>
      </c>
      <c r="Z7" s="79" t="str">
        <f t="shared" si="6"/>
        <v>0</v>
      </c>
      <c r="AA7" s="80" t="str">
        <f t="shared" si="2"/>
        <v>0</v>
      </c>
      <c r="AB7" s="80" t="str">
        <f t="shared" si="2"/>
        <v>0</v>
      </c>
      <c r="AC7" s="80" t="str">
        <f t="shared" si="2"/>
        <v>0</v>
      </c>
      <c r="AD7" s="80" t="str">
        <f t="shared" si="2"/>
        <v>0</v>
      </c>
      <c r="AE7" s="80" t="str">
        <f t="shared" si="2"/>
        <v>1</v>
      </c>
      <c r="AF7" s="80" t="str">
        <f t="shared" si="2"/>
        <v>1</v>
      </c>
      <c r="AG7" s="80" t="str">
        <f t="shared" si="2"/>
        <v>1</v>
      </c>
      <c r="AH7" s="80" t="str">
        <f t="shared" si="2"/>
        <v>1</v>
      </c>
      <c r="AI7" s="80" t="str">
        <f t="shared" si="2"/>
        <v>1</v>
      </c>
      <c r="AJ7" s="80" t="str">
        <f t="shared" si="2"/>
        <v>1</v>
      </c>
      <c r="AK7" s="80" t="str">
        <f t="shared" si="2"/>
        <v>1</v>
      </c>
      <c r="AL7" s="80" t="str">
        <f t="shared" si="2"/>
        <v>0</v>
      </c>
      <c r="AM7" s="80" t="str">
        <f t="shared" si="2"/>
        <v>0</v>
      </c>
      <c r="AN7" s="80" t="str">
        <f t="shared" si="2"/>
        <v>0</v>
      </c>
      <c r="AO7" s="81" t="str">
        <f t="shared" si="2"/>
        <v>0</v>
      </c>
    </row>
    <row r="8" spans="1:41" x14ac:dyDescent="0.25">
      <c r="A8" s="23">
        <v>5</v>
      </c>
      <c r="B8" s="41" t="str">
        <f t="shared" si="3"/>
        <v>0</v>
      </c>
      <c r="C8" s="42" t="str">
        <f t="shared" si="4"/>
        <v>0</v>
      </c>
      <c r="D8" s="42" t="str">
        <f t="shared" si="4"/>
        <v>0</v>
      </c>
      <c r="E8" s="42" t="str">
        <f t="shared" si="4"/>
        <v>0</v>
      </c>
      <c r="F8" s="42" t="str">
        <f t="shared" si="4"/>
        <v>1</v>
      </c>
      <c r="G8" s="42" t="str">
        <f t="shared" si="4"/>
        <v>1</v>
      </c>
      <c r="H8" s="42" t="str">
        <f t="shared" si="4"/>
        <v>0</v>
      </c>
      <c r="I8" s="42" t="str">
        <f t="shared" si="4"/>
        <v>0</v>
      </c>
      <c r="J8" s="42" t="str">
        <f t="shared" si="5"/>
        <v>1</v>
      </c>
      <c r="K8" s="42" t="str">
        <f t="shared" si="5"/>
        <v>0</v>
      </c>
      <c r="L8" s="42" t="str">
        <f t="shared" si="5"/>
        <v>0</v>
      </c>
      <c r="M8" s="42" t="str">
        <f t="shared" si="5"/>
        <v>1</v>
      </c>
      <c r="N8" s="42" t="str">
        <f t="shared" si="5"/>
        <v>1</v>
      </c>
      <c r="O8" s="42" t="str">
        <f t="shared" si="5"/>
        <v>0</v>
      </c>
      <c r="P8" s="42" t="str">
        <f t="shared" si="5"/>
        <v>0</v>
      </c>
      <c r="Q8" s="43" t="str">
        <f t="shared" si="5"/>
        <v>0</v>
      </c>
      <c r="U8" s="15">
        <f t="shared" si="9"/>
        <v>143</v>
      </c>
      <c r="V8" s="16" t="str">
        <f>MID($S$4,FIND("0b",$S$4,U8)+2,FIND(",",$S$4,FIND("0b",$S$4,U8))-(FIND("0b",$S$4,U8)+2))</f>
        <v>00001100</v>
      </c>
      <c r="W8" s="16">
        <f t="shared" si="10"/>
        <v>171</v>
      </c>
      <c r="X8" s="17" t="str">
        <f t="shared" si="8"/>
        <v>10011000</v>
      </c>
      <c r="Z8" s="79" t="str">
        <f t="shared" si="6"/>
        <v>0</v>
      </c>
      <c r="AA8" s="80" t="str">
        <f t="shared" si="2"/>
        <v>0</v>
      </c>
      <c r="AB8" s="80" t="str">
        <f t="shared" si="2"/>
        <v>0</v>
      </c>
      <c r="AC8" s="80" t="str">
        <f t="shared" si="2"/>
        <v>0</v>
      </c>
      <c r="AD8" s="80" t="str">
        <f t="shared" si="2"/>
        <v>1</v>
      </c>
      <c r="AE8" s="80" t="str">
        <f t="shared" si="2"/>
        <v>1</v>
      </c>
      <c r="AF8" s="80" t="str">
        <f t="shared" si="2"/>
        <v>0</v>
      </c>
      <c r="AG8" s="80" t="str">
        <f t="shared" si="2"/>
        <v>0</v>
      </c>
      <c r="AH8" s="80" t="str">
        <f t="shared" si="2"/>
        <v>1</v>
      </c>
      <c r="AI8" s="80" t="str">
        <f t="shared" si="2"/>
        <v>0</v>
      </c>
      <c r="AJ8" s="80" t="str">
        <f t="shared" si="2"/>
        <v>0</v>
      </c>
      <c r="AK8" s="80" t="str">
        <f t="shared" si="2"/>
        <v>1</v>
      </c>
      <c r="AL8" s="80" t="str">
        <f t="shared" si="2"/>
        <v>1</v>
      </c>
      <c r="AM8" s="80" t="str">
        <f t="shared" si="2"/>
        <v>0</v>
      </c>
      <c r="AN8" s="80" t="str">
        <f t="shared" si="2"/>
        <v>0</v>
      </c>
      <c r="AO8" s="81" t="str">
        <f t="shared" si="2"/>
        <v>0</v>
      </c>
    </row>
    <row r="9" spans="1:41" x14ac:dyDescent="0.25">
      <c r="A9" s="23">
        <v>6</v>
      </c>
      <c r="B9" s="41" t="str">
        <f t="shared" si="3"/>
        <v>0</v>
      </c>
      <c r="C9" s="42" t="str">
        <f t="shared" si="4"/>
        <v>0</v>
      </c>
      <c r="D9" s="42" t="str">
        <f t="shared" si="4"/>
        <v>0</v>
      </c>
      <c r="E9" s="42" t="str">
        <f t="shared" si="4"/>
        <v>1</v>
      </c>
      <c r="F9" s="42" t="str">
        <f t="shared" si="4"/>
        <v>1</v>
      </c>
      <c r="G9" s="42" t="str">
        <f t="shared" si="4"/>
        <v>0</v>
      </c>
      <c r="H9" s="42" t="str">
        <f t="shared" si="4"/>
        <v>0</v>
      </c>
      <c r="I9" s="42" t="str">
        <f t="shared" si="4"/>
        <v>0</v>
      </c>
      <c r="J9" s="42" t="str">
        <f t="shared" si="5"/>
        <v>0</v>
      </c>
      <c r="K9" s="42" t="str">
        <f t="shared" si="5"/>
        <v>0</v>
      </c>
      <c r="L9" s="42" t="str">
        <f t="shared" si="5"/>
        <v>1</v>
      </c>
      <c r="M9" s="42" t="str">
        <f t="shared" si="5"/>
        <v>1</v>
      </c>
      <c r="N9" s="42" t="str">
        <f t="shared" si="5"/>
        <v>1</v>
      </c>
      <c r="O9" s="42" t="str">
        <f t="shared" si="5"/>
        <v>1</v>
      </c>
      <c r="P9" s="42" t="str">
        <f t="shared" si="5"/>
        <v>0</v>
      </c>
      <c r="Q9" s="43" t="str">
        <f t="shared" si="5"/>
        <v>0</v>
      </c>
      <c r="U9" s="15">
        <f t="shared" si="9"/>
        <v>183</v>
      </c>
      <c r="V9" s="16" t="str">
        <f t="shared" ref="V9:V19" si="11">MID($S$4,FIND("0b",$S$4,U9)+2,FIND(",",$S$4,FIND("0b",$S$4,U9))-(FIND("0b",$S$4,U9)+2))</f>
        <v>00011000</v>
      </c>
      <c r="W9" s="16">
        <f t="shared" si="10"/>
        <v>212</v>
      </c>
      <c r="X9" s="17" t="str">
        <f t="shared" si="8"/>
        <v>00111100</v>
      </c>
      <c r="Z9" s="79" t="str">
        <f t="shared" si="6"/>
        <v>0</v>
      </c>
      <c r="AA9" s="80" t="str">
        <f t="shared" si="2"/>
        <v>0</v>
      </c>
      <c r="AB9" s="80" t="str">
        <f t="shared" si="2"/>
        <v>0</v>
      </c>
      <c r="AC9" s="80" t="str">
        <f t="shared" si="2"/>
        <v>1</v>
      </c>
      <c r="AD9" s="80" t="str">
        <f t="shared" si="2"/>
        <v>1</v>
      </c>
      <c r="AE9" s="80" t="str">
        <f t="shared" si="2"/>
        <v>0</v>
      </c>
      <c r="AF9" s="80" t="str">
        <f t="shared" si="2"/>
        <v>0</v>
      </c>
      <c r="AG9" s="80" t="str">
        <f t="shared" si="2"/>
        <v>0</v>
      </c>
      <c r="AH9" s="80" t="str">
        <f t="shared" si="2"/>
        <v>0</v>
      </c>
      <c r="AI9" s="80" t="str">
        <f t="shared" si="2"/>
        <v>0</v>
      </c>
      <c r="AJ9" s="80" t="str">
        <f t="shared" si="2"/>
        <v>1</v>
      </c>
      <c r="AK9" s="80" t="str">
        <f t="shared" si="2"/>
        <v>1</v>
      </c>
      <c r="AL9" s="80" t="str">
        <f t="shared" si="2"/>
        <v>1</v>
      </c>
      <c r="AM9" s="80" t="str">
        <f t="shared" si="2"/>
        <v>1</v>
      </c>
      <c r="AN9" s="80" t="str">
        <f t="shared" si="2"/>
        <v>0</v>
      </c>
      <c r="AO9" s="81" t="str">
        <f t="shared" si="2"/>
        <v>0</v>
      </c>
    </row>
    <row r="10" spans="1:41" x14ac:dyDescent="0.25">
      <c r="A10" s="23">
        <v>7</v>
      </c>
      <c r="B10" s="41" t="str">
        <f t="shared" si="3"/>
        <v>0</v>
      </c>
      <c r="C10" s="42" t="str">
        <f t="shared" si="4"/>
        <v>0</v>
      </c>
      <c r="D10" s="42" t="str">
        <f t="shared" si="4"/>
        <v>1</v>
      </c>
      <c r="E10" s="42" t="str">
        <f t="shared" si="4"/>
        <v>1</v>
      </c>
      <c r="F10" s="42" t="str">
        <f t="shared" si="4"/>
        <v>0</v>
      </c>
      <c r="G10" s="42" t="str">
        <f t="shared" si="4"/>
        <v>0</v>
      </c>
      <c r="H10" s="42" t="str">
        <f t="shared" si="4"/>
        <v>0</v>
      </c>
      <c r="I10" s="42" t="str">
        <f t="shared" si="4"/>
        <v>0</v>
      </c>
      <c r="J10" s="42" t="str">
        <f t="shared" si="5"/>
        <v>0</v>
      </c>
      <c r="K10" s="42" t="str">
        <f t="shared" si="5"/>
        <v>1</v>
      </c>
      <c r="L10" s="42" t="str">
        <f t="shared" si="5"/>
        <v>1</v>
      </c>
      <c r="M10" s="42" t="str">
        <f t="shared" si="5"/>
        <v>1</v>
      </c>
      <c r="N10" s="42" t="str">
        <f t="shared" si="5"/>
        <v>0</v>
      </c>
      <c r="O10" s="42" t="str">
        <f t="shared" si="5"/>
        <v>1</v>
      </c>
      <c r="P10" s="42" t="str">
        <f t="shared" si="5"/>
        <v>1</v>
      </c>
      <c r="Q10" s="43" t="str">
        <f t="shared" si="5"/>
        <v>0</v>
      </c>
      <c r="U10" s="15">
        <f t="shared" si="9"/>
        <v>224</v>
      </c>
      <c r="V10" s="16" t="str">
        <f t="shared" si="11"/>
        <v>00110000</v>
      </c>
      <c r="W10" s="16">
        <f t="shared" si="10"/>
        <v>254</v>
      </c>
      <c r="X10" s="17" t="str">
        <f t="shared" si="8"/>
        <v>01110110</v>
      </c>
      <c r="Z10" s="79" t="str">
        <f t="shared" si="6"/>
        <v>0</v>
      </c>
      <c r="AA10" s="80" t="str">
        <f t="shared" si="2"/>
        <v>0</v>
      </c>
      <c r="AB10" s="80" t="str">
        <f t="shared" si="2"/>
        <v>1</v>
      </c>
      <c r="AC10" s="80" t="str">
        <f t="shared" si="2"/>
        <v>1</v>
      </c>
      <c r="AD10" s="80" t="str">
        <f t="shared" si="2"/>
        <v>0</v>
      </c>
      <c r="AE10" s="80" t="str">
        <f t="shared" si="2"/>
        <v>0</v>
      </c>
      <c r="AF10" s="80" t="str">
        <f t="shared" si="2"/>
        <v>0</v>
      </c>
      <c r="AG10" s="80" t="str">
        <f t="shared" si="2"/>
        <v>0</v>
      </c>
      <c r="AH10" s="80" t="str">
        <f t="shared" si="2"/>
        <v>0</v>
      </c>
      <c r="AI10" s="80" t="str">
        <f t="shared" si="2"/>
        <v>1</v>
      </c>
      <c r="AJ10" s="80" t="str">
        <f t="shared" si="2"/>
        <v>1</v>
      </c>
      <c r="AK10" s="80" t="str">
        <f t="shared" si="2"/>
        <v>1</v>
      </c>
      <c r="AL10" s="80" t="str">
        <f t="shared" si="2"/>
        <v>0</v>
      </c>
      <c r="AM10" s="80" t="str">
        <f t="shared" si="2"/>
        <v>1</v>
      </c>
      <c r="AN10" s="80" t="str">
        <f t="shared" si="2"/>
        <v>1</v>
      </c>
      <c r="AO10" s="81" t="str">
        <f t="shared" si="2"/>
        <v>0</v>
      </c>
    </row>
    <row r="11" spans="1:41" x14ac:dyDescent="0.25">
      <c r="A11" s="23">
        <v>8</v>
      </c>
      <c r="B11" s="41" t="str">
        <f t="shared" si="3"/>
        <v>0</v>
      </c>
      <c r="C11" s="42" t="str">
        <f t="shared" si="4"/>
        <v>0</v>
      </c>
      <c r="D11" s="42" t="str">
        <f t="shared" si="4"/>
        <v>1</v>
      </c>
      <c r="E11" s="42" t="str">
        <f t="shared" si="4"/>
        <v>1</v>
      </c>
      <c r="F11" s="42" t="str">
        <f t="shared" si="4"/>
        <v>0</v>
      </c>
      <c r="G11" s="42" t="str">
        <f t="shared" si="4"/>
        <v>0</v>
      </c>
      <c r="H11" s="42" t="str">
        <f t="shared" si="4"/>
        <v>0</v>
      </c>
      <c r="I11" s="42" t="str">
        <f t="shared" si="4"/>
        <v>0</v>
      </c>
      <c r="J11" s="42" t="str">
        <f t="shared" si="5"/>
        <v>1</v>
      </c>
      <c r="K11" s="42" t="str">
        <f t="shared" si="5"/>
        <v>1</v>
      </c>
      <c r="L11" s="42" t="str">
        <f t="shared" si="5"/>
        <v>1</v>
      </c>
      <c r="M11" s="42" t="str">
        <f t="shared" si="5"/>
        <v>0</v>
      </c>
      <c r="N11" s="42" t="str">
        <f t="shared" si="5"/>
        <v>0</v>
      </c>
      <c r="O11" s="42" t="str">
        <f t="shared" si="5"/>
        <v>1</v>
      </c>
      <c r="P11" s="42" t="str">
        <f t="shared" si="5"/>
        <v>1</v>
      </c>
      <c r="Q11" s="43" t="str">
        <f t="shared" si="5"/>
        <v>0</v>
      </c>
      <c r="S11" s="52" t="s">
        <v>12</v>
      </c>
      <c r="U11" s="15">
        <f t="shared" si="9"/>
        <v>266</v>
      </c>
      <c r="V11" s="16" t="str">
        <f t="shared" si="11"/>
        <v>00110000</v>
      </c>
      <c r="W11" s="16">
        <f t="shared" si="10"/>
        <v>297</v>
      </c>
      <c r="X11" s="17" t="str">
        <f t="shared" si="8"/>
        <v>11100110</v>
      </c>
      <c r="Z11" s="79" t="str">
        <f t="shared" si="6"/>
        <v>0</v>
      </c>
      <c r="AA11" s="80" t="str">
        <f t="shared" si="2"/>
        <v>0</v>
      </c>
      <c r="AB11" s="80" t="str">
        <f t="shared" si="2"/>
        <v>1</v>
      </c>
      <c r="AC11" s="80" t="str">
        <f t="shared" si="2"/>
        <v>1</v>
      </c>
      <c r="AD11" s="80" t="str">
        <f t="shared" si="2"/>
        <v>0</v>
      </c>
      <c r="AE11" s="80" t="str">
        <f t="shared" si="2"/>
        <v>0</v>
      </c>
      <c r="AF11" s="80" t="str">
        <f t="shared" si="2"/>
        <v>0</v>
      </c>
      <c r="AG11" s="80" t="str">
        <f t="shared" si="2"/>
        <v>0</v>
      </c>
      <c r="AH11" s="80" t="str">
        <f t="shared" si="2"/>
        <v>1</v>
      </c>
      <c r="AI11" s="80" t="str">
        <f t="shared" si="2"/>
        <v>1</v>
      </c>
      <c r="AJ11" s="80" t="str">
        <f t="shared" si="2"/>
        <v>1</v>
      </c>
      <c r="AK11" s="80" t="str">
        <f t="shared" si="2"/>
        <v>0</v>
      </c>
      <c r="AL11" s="80" t="str">
        <f t="shared" si="2"/>
        <v>0</v>
      </c>
      <c r="AM11" s="80" t="str">
        <f t="shared" si="2"/>
        <v>1</v>
      </c>
      <c r="AN11" s="80" t="str">
        <f t="shared" si="2"/>
        <v>1</v>
      </c>
      <c r="AO11" s="81" t="str">
        <f t="shared" si="2"/>
        <v>0</v>
      </c>
    </row>
    <row r="12" spans="1:41" x14ac:dyDescent="0.25">
      <c r="A12" s="23">
        <v>9</v>
      </c>
      <c r="B12" s="41" t="str">
        <f t="shared" si="3"/>
        <v>0</v>
      </c>
      <c r="C12" s="42" t="str">
        <f t="shared" si="4"/>
        <v>0</v>
      </c>
      <c r="D12" s="42" t="str">
        <f t="shared" si="4"/>
        <v>1</v>
      </c>
      <c r="E12" s="42" t="str">
        <f t="shared" si="4"/>
        <v>1</v>
      </c>
      <c r="F12" s="42" t="str">
        <f t="shared" si="4"/>
        <v>1</v>
      </c>
      <c r="G12" s="42" t="str">
        <f t="shared" si="4"/>
        <v>0</v>
      </c>
      <c r="H12" s="42" t="str">
        <f t="shared" si="4"/>
        <v>0</v>
      </c>
      <c r="I12" s="42" t="str">
        <f t="shared" si="4"/>
        <v>1</v>
      </c>
      <c r="J12" s="42" t="str">
        <f t="shared" si="5"/>
        <v>1</v>
      </c>
      <c r="K12" s="42" t="str">
        <f t="shared" si="5"/>
        <v>1</v>
      </c>
      <c r="L12" s="42" t="str">
        <f t="shared" si="5"/>
        <v>0</v>
      </c>
      <c r="M12" s="42" t="str">
        <f t="shared" si="5"/>
        <v>0</v>
      </c>
      <c r="N12" s="42" t="str">
        <f t="shared" si="5"/>
        <v>1</v>
      </c>
      <c r="O12" s="42" t="str">
        <f t="shared" si="5"/>
        <v>1</v>
      </c>
      <c r="P12" s="42" t="str">
        <f t="shared" si="5"/>
        <v>1</v>
      </c>
      <c r="Q12" s="43" t="str">
        <f t="shared" si="5"/>
        <v>0</v>
      </c>
      <c r="S12" s="117" t="s">
        <v>13</v>
      </c>
      <c r="T12" s="118"/>
      <c r="U12" s="15">
        <f t="shared" si="9"/>
        <v>309</v>
      </c>
      <c r="V12" s="16" t="str">
        <f t="shared" si="11"/>
        <v>00111001</v>
      </c>
      <c r="W12" s="16">
        <f t="shared" si="10"/>
        <v>340</v>
      </c>
      <c r="X12" s="17" t="str">
        <f t="shared" si="8"/>
        <v>11001110</v>
      </c>
      <c r="Z12" s="79" t="str">
        <f t="shared" si="6"/>
        <v>0</v>
      </c>
      <c r="AA12" s="80" t="str">
        <f t="shared" si="2"/>
        <v>0</v>
      </c>
      <c r="AB12" s="80" t="str">
        <f t="shared" si="2"/>
        <v>1</v>
      </c>
      <c r="AC12" s="80" t="str">
        <f t="shared" si="2"/>
        <v>1</v>
      </c>
      <c r="AD12" s="80" t="str">
        <f t="shared" si="2"/>
        <v>1</v>
      </c>
      <c r="AE12" s="80" t="str">
        <f t="shared" si="2"/>
        <v>0</v>
      </c>
      <c r="AF12" s="80" t="str">
        <f t="shared" si="2"/>
        <v>0</v>
      </c>
      <c r="AG12" s="80" t="str">
        <f t="shared" si="2"/>
        <v>1</v>
      </c>
      <c r="AH12" s="80" t="str">
        <f t="shared" si="2"/>
        <v>1</v>
      </c>
      <c r="AI12" s="80" t="str">
        <f t="shared" si="2"/>
        <v>1</v>
      </c>
      <c r="AJ12" s="80" t="str">
        <f t="shared" si="2"/>
        <v>0</v>
      </c>
      <c r="AK12" s="80" t="str">
        <f t="shared" si="2"/>
        <v>0</v>
      </c>
      <c r="AL12" s="80" t="str">
        <f t="shared" si="2"/>
        <v>1</v>
      </c>
      <c r="AM12" s="80" t="str">
        <f t="shared" si="2"/>
        <v>1</v>
      </c>
      <c r="AN12" s="80" t="str">
        <f t="shared" si="2"/>
        <v>1</v>
      </c>
      <c r="AO12" s="81" t="str">
        <f t="shared" si="2"/>
        <v>0</v>
      </c>
    </row>
    <row r="13" spans="1:41" x14ac:dyDescent="0.25">
      <c r="A13" s="23">
        <v>10</v>
      </c>
      <c r="B13" s="41" t="str">
        <f t="shared" si="3"/>
        <v>0</v>
      </c>
      <c r="C13" s="42" t="str">
        <f t="shared" si="4"/>
        <v>0</v>
      </c>
      <c r="D13" s="42" t="str">
        <f t="shared" si="4"/>
        <v>1</v>
      </c>
      <c r="E13" s="42" t="str">
        <f t="shared" si="4"/>
        <v>1</v>
      </c>
      <c r="F13" s="42" t="str">
        <f t="shared" si="4"/>
        <v>0</v>
      </c>
      <c r="G13" s="42" t="str">
        <f t="shared" si="4"/>
        <v>0</v>
      </c>
      <c r="H13" s="42" t="str">
        <f t="shared" si="4"/>
        <v>0</v>
      </c>
      <c r="I13" s="42" t="str">
        <f t="shared" si="4"/>
        <v>0</v>
      </c>
      <c r="J13" s="42" t="str">
        <f t="shared" si="5"/>
        <v>1</v>
      </c>
      <c r="K13" s="42" t="str">
        <f t="shared" si="5"/>
        <v>0</v>
      </c>
      <c r="L13" s="42" t="str">
        <f t="shared" si="5"/>
        <v>0</v>
      </c>
      <c r="M13" s="42" t="str">
        <f t="shared" si="5"/>
        <v>0</v>
      </c>
      <c r="N13" s="42" t="str">
        <f t="shared" si="5"/>
        <v>0</v>
      </c>
      <c r="O13" s="42" t="str">
        <f t="shared" si="5"/>
        <v>1</v>
      </c>
      <c r="P13" s="42" t="str">
        <f t="shared" si="5"/>
        <v>1</v>
      </c>
      <c r="Q13" s="43" t="str">
        <f t="shared" si="5"/>
        <v>0</v>
      </c>
      <c r="U13" s="15">
        <f t="shared" si="9"/>
        <v>352</v>
      </c>
      <c r="V13" s="16" t="str">
        <f t="shared" si="11"/>
        <v>00110000</v>
      </c>
      <c r="W13" s="16">
        <f t="shared" si="10"/>
        <v>383</v>
      </c>
      <c r="X13" s="17" t="str">
        <f t="shared" si="8"/>
        <v>10000110</v>
      </c>
      <c r="Z13" s="79" t="str">
        <f t="shared" si="6"/>
        <v>0</v>
      </c>
      <c r="AA13" s="80" t="str">
        <f t="shared" si="2"/>
        <v>0</v>
      </c>
      <c r="AB13" s="80" t="str">
        <f t="shared" si="2"/>
        <v>1</v>
      </c>
      <c r="AC13" s="80" t="str">
        <f t="shared" si="2"/>
        <v>1</v>
      </c>
      <c r="AD13" s="80" t="str">
        <f t="shared" si="2"/>
        <v>0</v>
      </c>
      <c r="AE13" s="80" t="str">
        <f t="shared" si="2"/>
        <v>0</v>
      </c>
      <c r="AF13" s="80" t="str">
        <f t="shared" si="2"/>
        <v>0</v>
      </c>
      <c r="AG13" s="80" t="str">
        <f t="shared" si="2"/>
        <v>0</v>
      </c>
      <c r="AH13" s="80" t="str">
        <f t="shared" si="2"/>
        <v>1</v>
      </c>
      <c r="AI13" s="80" t="str">
        <f t="shared" si="2"/>
        <v>0</v>
      </c>
      <c r="AJ13" s="80" t="str">
        <f t="shared" si="2"/>
        <v>0</v>
      </c>
      <c r="AK13" s="80" t="str">
        <f t="shared" si="2"/>
        <v>0</v>
      </c>
      <c r="AL13" s="80" t="str">
        <f t="shared" si="2"/>
        <v>0</v>
      </c>
      <c r="AM13" s="80" t="str">
        <f t="shared" si="2"/>
        <v>1</v>
      </c>
      <c r="AN13" s="80" t="str">
        <f t="shared" si="2"/>
        <v>1</v>
      </c>
      <c r="AO13" s="81" t="str">
        <f t="shared" si="2"/>
        <v>0</v>
      </c>
    </row>
    <row r="14" spans="1:41" x14ac:dyDescent="0.25">
      <c r="A14" s="23">
        <v>11</v>
      </c>
      <c r="B14" s="41" t="str">
        <f t="shared" si="3"/>
        <v>0</v>
      </c>
      <c r="C14" s="42" t="str">
        <f t="shared" si="4"/>
        <v>0</v>
      </c>
      <c r="D14" s="42" t="str">
        <f t="shared" si="4"/>
        <v>1</v>
      </c>
      <c r="E14" s="42" t="str">
        <f t="shared" si="4"/>
        <v>1</v>
      </c>
      <c r="F14" s="42" t="str">
        <f t="shared" si="4"/>
        <v>0</v>
      </c>
      <c r="G14" s="42" t="str">
        <f t="shared" si="4"/>
        <v>0</v>
      </c>
      <c r="H14" s="42" t="str">
        <f t="shared" si="4"/>
        <v>0</v>
      </c>
      <c r="I14" s="42" t="str">
        <f t="shared" si="4"/>
        <v>0</v>
      </c>
      <c r="J14" s="42" t="str">
        <f t="shared" si="5"/>
        <v>0</v>
      </c>
      <c r="K14" s="42" t="str">
        <f t="shared" si="5"/>
        <v>0</v>
      </c>
      <c r="L14" s="42" t="str">
        <f t="shared" si="5"/>
        <v>0</v>
      </c>
      <c r="M14" s="42" t="str">
        <f t="shared" si="5"/>
        <v>0</v>
      </c>
      <c r="N14" s="42" t="str">
        <f t="shared" si="5"/>
        <v>0</v>
      </c>
      <c r="O14" s="42" t="str">
        <f t="shared" si="5"/>
        <v>1</v>
      </c>
      <c r="P14" s="42" t="str">
        <f t="shared" si="5"/>
        <v>1</v>
      </c>
      <c r="Q14" s="43" t="str">
        <f t="shared" si="5"/>
        <v>0</v>
      </c>
      <c r="U14" s="15">
        <f t="shared" si="9"/>
        <v>395</v>
      </c>
      <c r="V14" s="16" t="str">
        <f t="shared" si="11"/>
        <v>00110000</v>
      </c>
      <c r="W14" s="16">
        <f t="shared" si="10"/>
        <v>426</v>
      </c>
      <c r="X14" s="17" t="str">
        <f t="shared" si="8"/>
        <v>00000110</v>
      </c>
      <c r="Z14" s="79" t="str">
        <f t="shared" si="6"/>
        <v>0</v>
      </c>
      <c r="AA14" s="80" t="str">
        <f t="shared" si="2"/>
        <v>0</v>
      </c>
      <c r="AB14" s="80" t="str">
        <f t="shared" si="2"/>
        <v>1</v>
      </c>
      <c r="AC14" s="80" t="str">
        <f t="shared" si="2"/>
        <v>1</v>
      </c>
      <c r="AD14" s="80" t="str">
        <f t="shared" si="2"/>
        <v>0</v>
      </c>
      <c r="AE14" s="80" t="str">
        <f t="shared" si="2"/>
        <v>0</v>
      </c>
      <c r="AF14" s="80" t="str">
        <f t="shared" si="2"/>
        <v>0</v>
      </c>
      <c r="AG14" s="80" t="str">
        <f t="shared" si="2"/>
        <v>0</v>
      </c>
      <c r="AH14" s="80" t="str">
        <f t="shared" si="2"/>
        <v>0</v>
      </c>
      <c r="AI14" s="80" t="str">
        <f t="shared" si="2"/>
        <v>0</v>
      </c>
      <c r="AJ14" s="80" t="str">
        <f t="shared" si="2"/>
        <v>0</v>
      </c>
      <c r="AK14" s="80" t="str">
        <f t="shared" si="2"/>
        <v>0</v>
      </c>
      <c r="AL14" s="80" t="str">
        <f t="shared" si="2"/>
        <v>0</v>
      </c>
      <c r="AM14" s="80" t="str">
        <f t="shared" si="2"/>
        <v>1</v>
      </c>
      <c r="AN14" s="80" t="str">
        <f t="shared" si="2"/>
        <v>1</v>
      </c>
      <c r="AO14" s="81" t="str">
        <f t="shared" si="2"/>
        <v>0</v>
      </c>
    </row>
    <row r="15" spans="1:41" x14ac:dyDescent="0.25">
      <c r="A15" s="23">
        <v>12</v>
      </c>
      <c r="B15" s="41" t="str">
        <f t="shared" si="3"/>
        <v>0</v>
      </c>
      <c r="C15" s="42" t="str">
        <f t="shared" si="4"/>
        <v>0</v>
      </c>
      <c r="D15" s="42" t="str">
        <f t="shared" si="4"/>
        <v>0</v>
      </c>
      <c r="E15" s="42" t="str">
        <f t="shared" si="4"/>
        <v>1</v>
      </c>
      <c r="F15" s="42" t="str">
        <f t="shared" si="4"/>
        <v>1</v>
      </c>
      <c r="G15" s="42" t="str">
        <f t="shared" si="4"/>
        <v>0</v>
      </c>
      <c r="H15" s="42" t="str">
        <f t="shared" si="4"/>
        <v>0</v>
      </c>
      <c r="I15" s="42" t="str">
        <f t="shared" si="4"/>
        <v>0</v>
      </c>
      <c r="J15" s="42" t="str">
        <f t="shared" si="5"/>
        <v>0</v>
      </c>
      <c r="K15" s="42" t="str">
        <f t="shared" si="5"/>
        <v>0</v>
      </c>
      <c r="L15" s="42" t="str">
        <f t="shared" si="5"/>
        <v>0</v>
      </c>
      <c r="M15" s="42" t="str">
        <f t="shared" si="5"/>
        <v>0</v>
      </c>
      <c r="N15" s="42" t="str">
        <f t="shared" si="5"/>
        <v>1</v>
      </c>
      <c r="O15" s="42" t="str">
        <f t="shared" si="5"/>
        <v>1</v>
      </c>
      <c r="P15" s="42" t="str">
        <f t="shared" si="5"/>
        <v>0</v>
      </c>
      <c r="Q15" s="43" t="str">
        <f t="shared" si="5"/>
        <v>0</v>
      </c>
      <c r="U15" s="15">
        <f t="shared" si="9"/>
        <v>438</v>
      </c>
      <c r="V15" s="16" t="str">
        <f t="shared" si="11"/>
        <v>00011000</v>
      </c>
      <c r="W15" s="16">
        <f t="shared" si="10"/>
        <v>469</v>
      </c>
      <c r="X15" s="17" t="str">
        <f t="shared" si="8"/>
        <v>00001100</v>
      </c>
      <c r="Z15" s="79" t="str">
        <f t="shared" si="6"/>
        <v>0</v>
      </c>
      <c r="AA15" s="80" t="str">
        <f t="shared" si="2"/>
        <v>0</v>
      </c>
      <c r="AB15" s="80" t="str">
        <f t="shared" si="2"/>
        <v>0</v>
      </c>
      <c r="AC15" s="80" t="str">
        <f t="shared" si="2"/>
        <v>1</v>
      </c>
      <c r="AD15" s="80" t="str">
        <f t="shared" si="2"/>
        <v>1</v>
      </c>
      <c r="AE15" s="80" t="str">
        <f t="shared" si="2"/>
        <v>0</v>
      </c>
      <c r="AF15" s="80" t="str">
        <f t="shared" si="2"/>
        <v>0</v>
      </c>
      <c r="AG15" s="80" t="str">
        <f t="shared" si="2"/>
        <v>0</v>
      </c>
      <c r="AH15" s="80" t="str">
        <f t="shared" si="2"/>
        <v>0</v>
      </c>
      <c r="AI15" s="80" t="str">
        <f t="shared" si="2"/>
        <v>0</v>
      </c>
      <c r="AJ15" s="80" t="str">
        <f t="shared" si="2"/>
        <v>0</v>
      </c>
      <c r="AK15" s="80" t="str">
        <f t="shared" si="2"/>
        <v>0</v>
      </c>
      <c r="AL15" s="80" t="str">
        <f t="shared" si="2"/>
        <v>1</v>
      </c>
      <c r="AM15" s="80" t="str">
        <f t="shared" si="2"/>
        <v>1</v>
      </c>
      <c r="AN15" s="80" t="str">
        <f t="shared" si="2"/>
        <v>0</v>
      </c>
      <c r="AO15" s="81" t="str">
        <f t="shared" si="2"/>
        <v>0</v>
      </c>
    </row>
    <row r="16" spans="1:41" x14ac:dyDescent="0.25">
      <c r="A16" s="23">
        <v>13</v>
      </c>
      <c r="B16" s="41" t="str">
        <f t="shared" si="3"/>
        <v>0</v>
      </c>
      <c r="C16" s="42" t="str">
        <f t="shared" si="4"/>
        <v>0</v>
      </c>
      <c r="D16" s="42" t="str">
        <f t="shared" si="4"/>
        <v>0</v>
      </c>
      <c r="E16" s="42" t="str">
        <f t="shared" si="4"/>
        <v>0</v>
      </c>
      <c r="F16" s="42" t="str">
        <f t="shared" si="4"/>
        <v>1</v>
      </c>
      <c r="G16" s="42" t="str">
        <f t="shared" si="4"/>
        <v>1</v>
      </c>
      <c r="H16" s="42" t="str">
        <f t="shared" si="4"/>
        <v>0</v>
      </c>
      <c r="I16" s="42" t="str">
        <f t="shared" si="4"/>
        <v>0</v>
      </c>
      <c r="J16" s="42" t="str">
        <f t="shared" si="5"/>
        <v>1</v>
      </c>
      <c r="K16" s="42" t="str">
        <f t="shared" si="5"/>
        <v>0</v>
      </c>
      <c r="L16" s="42" t="str">
        <f t="shared" si="5"/>
        <v>0</v>
      </c>
      <c r="M16" s="42" t="str">
        <f t="shared" si="5"/>
        <v>1</v>
      </c>
      <c r="N16" s="42" t="str">
        <f t="shared" si="5"/>
        <v>1</v>
      </c>
      <c r="O16" s="42" t="str">
        <f t="shared" si="5"/>
        <v>0</v>
      </c>
      <c r="P16" s="42" t="str">
        <f t="shared" si="5"/>
        <v>0</v>
      </c>
      <c r="Q16" s="43" t="str">
        <f t="shared" si="5"/>
        <v>0</v>
      </c>
      <c r="U16" s="15">
        <f t="shared" si="9"/>
        <v>481</v>
      </c>
      <c r="V16" s="16" t="str">
        <f t="shared" si="11"/>
        <v>00001100</v>
      </c>
      <c r="W16" s="16">
        <f t="shared" si="10"/>
        <v>511</v>
      </c>
      <c r="X16" s="17" t="str">
        <f t="shared" si="8"/>
        <v>10011000</v>
      </c>
      <c r="Z16" s="79" t="str">
        <f t="shared" si="6"/>
        <v>0</v>
      </c>
      <c r="AA16" s="80" t="str">
        <f t="shared" si="2"/>
        <v>0</v>
      </c>
      <c r="AB16" s="80" t="str">
        <f t="shared" si="2"/>
        <v>0</v>
      </c>
      <c r="AC16" s="80" t="str">
        <f t="shared" si="2"/>
        <v>0</v>
      </c>
      <c r="AD16" s="80" t="str">
        <f t="shared" si="2"/>
        <v>1</v>
      </c>
      <c r="AE16" s="80" t="str">
        <f t="shared" si="2"/>
        <v>1</v>
      </c>
      <c r="AF16" s="80" t="str">
        <f t="shared" si="2"/>
        <v>0</v>
      </c>
      <c r="AG16" s="80" t="str">
        <f t="shared" si="2"/>
        <v>0</v>
      </c>
      <c r="AH16" s="80" t="str">
        <f t="shared" si="2"/>
        <v>1</v>
      </c>
      <c r="AI16" s="80" t="str">
        <f t="shared" si="2"/>
        <v>0</v>
      </c>
      <c r="AJ16" s="80" t="str">
        <f t="shared" si="2"/>
        <v>0</v>
      </c>
      <c r="AK16" s="80" t="str">
        <f t="shared" si="2"/>
        <v>1</v>
      </c>
      <c r="AL16" s="80" t="str">
        <f t="shared" si="2"/>
        <v>1</v>
      </c>
      <c r="AM16" s="80" t="str">
        <f t="shared" si="2"/>
        <v>0</v>
      </c>
      <c r="AN16" s="80" t="str">
        <f t="shared" si="2"/>
        <v>0</v>
      </c>
      <c r="AO16" s="81" t="str">
        <f t="shared" si="2"/>
        <v>0</v>
      </c>
    </row>
    <row r="17" spans="1:41" x14ac:dyDescent="0.25">
      <c r="A17" s="23">
        <v>14</v>
      </c>
      <c r="B17" s="41" t="str">
        <f t="shared" si="3"/>
        <v>0</v>
      </c>
      <c r="C17" s="42" t="str">
        <f t="shared" si="4"/>
        <v>0</v>
      </c>
      <c r="D17" s="42" t="str">
        <f t="shared" si="4"/>
        <v>0</v>
      </c>
      <c r="E17" s="42" t="str">
        <f t="shared" si="4"/>
        <v>0</v>
      </c>
      <c r="F17" s="42" t="str">
        <f t="shared" si="4"/>
        <v>0</v>
      </c>
      <c r="G17" s="42" t="str">
        <f t="shared" si="4"/>
        <v>1</v>
      </c>
      <c r="H17" s="42" t="str">
        <f t="shared" si="4"/>
        <v>1</v>
      </c>
      <c r="I17" s="42" t="str">
        <f t="shared" si="4"/>
        <v>1</v>
      </c>
      <c r="J17" s="42" t="str">
        <f t="shared" si="5"/>
        <v>1</v>
      </c>
      <c r="K17" s="42" t="str">
        <f t="shared" si="5"/>
        <v>1</v>
      </c>
      <c r="L17" s="42" t="str">
        <f t="shared" si="5"/>
        <v>1</v>
      </c>
      <c r="M17" s="42" t="str">
        <f t="shared" si="5"/>
        <v>1</v>
      </c>
      <c r="N17" s="42" t="str">
        <f t="shared" si="5"/>
        <v>0</v>
      </c>
      <c r="O17" s="42" t="str">
        <f t="shared" si="5"/>
        <v>0</v>
      </c>
      <c r="P17" s="42" t="str">
        <f t="shared" si="5"/>
        <v>0</v>
      </c>
      <c r="Q17" s="43" t="str">
        <f t="shared" si="5"/>
        <v>0</v>
      </c>
      <c r="U17" s="15">
        <f t="shared" si="9"/>
        <v>523</v>
      </c>
      <c r="V17" s="16" t="str">
        <f t="shared" si="11"/>
        <v>00000111</v>
      </c>
      <c r="W17" s="16">
        <f t="shared" si="10"/>
        <v>552</v>
      </c>
      <c r="X17" s="17" t="str">
        <f t="shared" si="8"/>
        <v>11110000</v>
      </c>
      <c r="Z17" s="79" t="str">
        <f t="shared" si="6"/>
        <v>0</v>
      </c>
      <c r="AA17" s="80" t="str">
        <f t="shared" si="2"/>
        <v>0</v>
      </c>
      <c r="AB17" s="80" t="str">
        <f t="shared" si="2"/>
        <v>0</v>
      </c>
      <c r="AC17" s="80" t="str">
        <f t="shared" si="2"/>
        <v>0</v>
      </c>
      <c r="AD17" s="80" t="str">
        <f t="shared" si="2"/>
        <v>0</v>
      </c>
      <c r="AE17" s="80" t="str">
        <f t="shared" si="2"/>
        <v>1</v>
      </c>
      <c r="AF17" s="80" t="str">
        <f t="shared" si="2"/>
        <v>1</v>
      </c>
      <c r="AG17" s="80" t="str">
        <f t="shared" si="2"/>
        <v>1</v>
      </c>
      <c r="AH17" s="80" t="str">
        <f t="shared" si="2"/>
        <v>1</v>
      </c>
      <c r="AI17" s="80" t="str">
        <f t="shared" si="2"/>
        <v>1</v>
      </c>
      <c r="AJ17" s="80" t="str">
        <f t="shared" si="2"/>
        <v>1</v>
      </c>
      <c r="AK17" s="80" t="str">
        <f t="shared" si="2"/>
        <v>1</v>
      </c>
      <c r="AL17" s="80" t="str">
        <f t="shared" si="2"/>
        <v>0</v>
      </c>
      <c r="AM17" s="80" t="str">
        <f t="shared" si="2"/>
        <v>0</v>
      </c>
      <c r="AN17" s="80" t="str">
        <f t="shared" si="2"/>
        <v>0</v>
      </c>
      <c r="AO17" s="81" t="str">
        <f t="shared" si="2"/>
        <v>0</v>
      </c>
    </row>
    <row r="18" spans="1:41" x14ac:dyDescent="0.25">
      <c r="A18" s="23">
        <v>15</v>
      </c>
      <c r="B18" s="41" t="str">
        <f t="shared" si="3"/>
        <v>0</v>
      </c>
      <c r="C18" s="42" t="str">
        <f t="shared" si="4"/>
        <v>0</v>
      </c>
      <c r="D18" s="42" t="str">
        <f t="shared" si="4"/>
        <v>0</v>
      </c>
      <c r="E18" s="42" t="str">
        <f t="shared" si="4"/>
        <v>0</v>
      </c>
      <c r="F18" s="42" t="str">
        <f t="shared" si="4"/>
        <v>0</v>
      </c>
      <c r="G18" s="42" t="str">
        <f t="shared" si="4"/>
        <v>0</v>
      </c>
      <c r="H18" s="42" t="str">
        <f t="shared" si="4"/>
        <v>1</v>
      </c>
      <c r="I18" s="42" t="str">
        <f t="shared" si="4"/>
        <v>1</v>
      </c>
      <c r="J18" s="42" t="str">
        <f t="shared" si="5"/>
        <v>1</v>
      </c>
      <c r="K18" s="42" t="str">
        <f t="shared" si="5"/>
        <v>1</v>
      </c>
      <c r="L18" s="42" t="str">
        <f t="shared" si="5"/>
        <v>1</v>
      </c>
      <c r="M18" s="42" t="str">
        <f t="shared" si="5"/>
        <v>0</v>
      </c>
      <c r="N18" s="42" t="str">
        <f t="shared" si="5"/>
        <v>0</v>
      </c>
      <c r="O18" s="42" t="str">
        <f t="shared" si="5"/>
        <v>0</v>
      </c>
      <c r="P18" s="42" t="str">
        <f t="shared" si="5"/>
        <v>0</v>
      </c>
      <c r="Q18" s="43" t="str">
        <f t="shared" si="5"/>
        <v>0</v>
      </c>
      <c r="U18" s="15">
        <f t="shared" si="9"/>
        <v>564</v>
      </c>
      <c r="V18" s="16" t="str">
        <f t="shared" si="11"/>
        <v>00000011</v>
      </c>
      <c r="W18" s="16">
        <f t="shared" si="10"/>
        <v>592</v>
      </c>
      <c r="X18" s="17" t="str">
        <f t="shared" si="8"/>
        <v>11100000</v>
      </c>
      <c r="Z18" s="79" t="str">
        <f t="shared" si="6"/>
        <v>0</v>
      </c>
      <c r="AA18" s="80" t="str">
        <f t="shared" si="2"/>
        <v>0</v>
      </c>
      <c r="AB18" s="80" t="str">
        <f t="shared" si="2"/>
        <v>0</v>
      </c>
      <c r="AC18" s="80" t="str">
        <f t="shared" si="2"/>
        <v>0</v>
      </c>
      <c r="AD18" s="80" t="str">
        <f t="shared" si="2"/>
        <v>0</v>
      </c>
      <c r="AE18" s="80" t="str">
        <f t="shared" si="2"/>
        <v>0</v>
      </c>
      <c r="AF18" s="80" t="str">
        <f t="shared" si="2"/>
        <v>1</v>
      </c>
      <c r="AG18" s="80" t="str">
        <f t="shared" si="2"/>
        <v>1</v>
      </c>
      <c r="AH18" s="80" t="str">
        <f t="shared" si="2"/>
        <v>1</v>
      </c>
      <c r="AI18" s="80" t="str">
        <f t="shared" si="2"/>
        <v>1</v>
      </c>
      <c r="AJ18" s="80" t="str">
        <f t="shared" si="2"/>
        <v>1</v>
      </c>
      <c r="AK18" s="80" t="str">
        <f t="shared" si="2"/>
        <v>0</v>
      </c>
      <c r="AL18" s="80" t="str">
        <f t="shared" si="2"/>
        <v>0</v>
      </c>
      <c r="AM18" s="80" t="str">
        <f t="shared" si="2"/>
        <v>0</v>
      </c>
      <c r="AN18" s="80" t="str">
        <f t="shared" si="2"/>
        <v>0</v>
      </c>
      <c r="AO18" s="81" t="str">
        <f t="shared" si="2"/>
        <v>0</v>
      </c>
    </row>
    <row r="19" spans="1:41" ht="15.75" thickBot="1" x14ac:dyDescent="0.3">
      <c r="A19" s="23">
        <v>16</v>
      </c>
      <c r="B19" s="44" t="str">
        <f t="shared" si="3"/>
        <v>0</v>
      </c>
      <c r="C19" s="45" t="str">
        <f t="shared" si="4"/>
        <v>0</v>
      </c>
      <c r="D19" s="45" t="str">
        <f t="shared" si="4"/>
        <v>0</v>
      </c>
      <c r="E19" s="45" t="str">
        <f t="shared" si="4"/>
        <v>0</v>
      </c>
      <c r="F19" s="45" t="str">
        <f t="shared" si="4"/>
        <v>0</v>
      </c>
      <c r="G19" s="45" t="str">
        <f t="shared" si="4"/>
        <v>0</v>
      </c>
      <c r="H19" s="45" t="str">
        <f t="shared" si="4"/>
        <v>0</v>
      </c>
      <c r="I19" s="45" t="str">
        <f t="shared" si="4"/>
        <v>0</v>
      </c>
      <c r="J19" s="45" t="str">
        <f t="shared" si="5"/>
        <v>0</v>
      </c>
      <c r="K19" s="45" t="str">
        <f t="shared" si="5"/>
        <v>0</v>
      </c>
      <c r="L19" s="45" t="str">
        <f t="shared" si="5"/>
        <v>0</v>
      </c>
      <c r="M19" s="45" t="str">
        <f t="shared" si="5"/>
        <v>0</v>
      </c>
      <c r="N19" s="45" t="str">
        <f t="shared" si="5"/>
        <v>0</v>
      </c>
      <c r="O19" s="45" t="str">
        <f t="shared" si="5"/>
        <v>0</v>
      </c>
      <c r="P19" s="45" t="str">
        <f t="shared" si="5"/>
        <v>0</v>
      </c>
      <c r="Q19" s="46" t="str">
        <f t="shared" si="5"/>
        <v>0</v>
      </c>
      <c r="U19" s="18">
        <f t="shared" si="9"/>
        <v>604</v>
      </c>
      <c r="V19" s="19" t="str">
        <f t="shared" si="11"/>
        <v>00000000</v>
      </c>
      <c r="W19" s="19">
        <f t="shared" si="10"/>
        <v>631</v>
      </c>
      <c r="X19" s="20" t="str">
        <f>MID($S$4,FIND("0b",$S$4,W19)+2,FIND(",",$S$4,FIND("0b",$S$4,W19))-(FIND("0b",$S$4,W19)+2))</f>
        <v>00000000</v>
      </c>
      <c r="Z19" s="82" t="str">
        <f t="shared" si="6"/>
        <v>0</v>
      </c>
      <c r="AA19" s="83" t="str">
        <f t="shared" si="2"/>
        <v>0</v>
      </c>
      <c r="AB19" s="83" t="str">
        <f t="shared" si="2"/>
        <v>0</v>
      </c>
      <c r="AC19" s="83" t="str">
        <f t="shared" si="2"/>
        <v>0</v>
      </c>
      <c r="AD19" s="83" t="str">
        <f t="shared" si="2"/>
        <v>0</v>
      </c>
      <c r="AE19" s="83" t="str">
        <f t="shared" si="2"/>
        <v>0</v>
      </c>
      <c r="AF19" s="83" t="str">
        <f t="shared" si="2"/>
        <v>0</v>
      </c>
      <c r="AG19" s="83" t="str">
        <f t="shared" si="2"/>
        <v>0</v>
      </c>
      <c r="AH19" s="83" t="str">
        <f t="shared" si="2"/>
        <v>0</v>
      </c>
      <c r="AI19" s="83" t="str">
        <f t="shared" si="2"/>
        <v>0</v>
      </c>
      <c r="AJ19" s="83" t="str">
        <f t="shared" si="2"/>
        <v>0</v>
      </c>
      <c r="AK19" s="83" t="str">
        <f t="shared" si="2"/>
        <v>0</v>
      </c>
      <c r="AL19" s="83" t="str">
        <f t="shared" si="2"/>
        <v>0</v>
      </c>
      <c r="AM19" s="83" t="str">
        <f t="shared" si="2"/>
        <v>0</v>
      </c>
      <c r="AN19" s="83" t="str">
        <f t="shared" si="2"/>
        <v>0</v>
      </c>
      <c r="AO19" s="84" t="str">
        <f t="shared" si="2"/>
        <v>0</v>
      </c>
    </row>
    <row r="20" spans="1:41" x14ac:dyDescent="0.25"/>
    <row r="21" spans="1:41" x14ac:dyDescent="0.25"/>
    <row r="22" spans="1:41" x14ac:dyDescent="0.25"/>
    <row r="23" spans="1:41" x14ac:dyDescent="0.25"/>
    <row r="24" spans="1:41" x14ac:dyDescent="0.25"/>
    <row r="25" spans="1:41" x14ac:dyDescent="0.25"/>
    <row r="26" spans="1:41" x14ac:dyDescent="0.25"/>
    <row r="27" spans="1:41" x14ac:dyDescent="0.25"/>
    <row r="28" spans="1:41" x14ac:dyDescent="0.25"/>
    <row r="29" spans="1:41" x14ac:dyDescent="0.25"/>
    <row r="30" spans="1:41" x14ac:dyDescent="0.25"/>
    <row r="31" spans="1:41" x14ac:dyDescent="0.25"/>
    <row r="33" customFormat="1" hidden="1" x14ac:dyDescent="0.25"/>
    <row r="34" customFormat="1" hidden="1" x14ac:dyDescent="0.25"/>
    <row r="35" customFormat="1" hidden="1" x14ac:dyDescent="0.25"/>
    <row r="36" customFormat="1" hidden="1" x14ac:dyDescent="0.25"/>
  </sheetData>
  <sheetProtection sheet="1" objects="1" scenarios="1" selectLockedCells="1"/>
  <mergeCells count="4">
    <mergeCell ref="U2:X2"/>
    <mergeCell ref="B1:Q1"/>
    <mergeCell ref="Z3:AO3"/>
    <mergeCell ref="S12:T12"/>
  </mergeCells>
  <hyperlinks>
    <hyperlink ref="S12" r:id="rId1" xr:uid="{3A125477-00EF-4A9F-8173-038F153615FF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3078" r:id="rId4" name="EditarIconoDesdeLista">
          <controlPr defaultSize="0" autoLine="0" r:id="rId5">
            <anchor moveWithCells="1">
              <from>
                <xdr:col>17</xdr:col>
                <xdr:colOff>238125</xdr:colOff>
                <xdr:row>7</xdr:row>
                <xdr:rowOff>104775</xdr:rowOff>
              </from>
              <to>
                <xdr:col>19</xdr:col>
                <xdr:colOff>838200</xdr:colOff>
                <xdr:row>9</xdr:row>
                <xdr:rowOff>28575</xdr:rowOff>
              </to>
            </anchor>
          </controlPr>
        </control>
      </mc:Choice>
      <mc:Fallback>
        <control shapeId="3078" r:id="rId4" name="EditarIconoDesdeLista"/>
      </mc:Fallback>
    </mc:AlternateContent>
    <mc:AlternateContent xmlns:mc="http://schemas.openxmlformats.org/markup-compatibility/2006">
      <mc:Choice Requires="x14">
        <control shapeId="3073" r:id="rId6" name="Lista">
          <controlPr defaultSize="0" autoLine="0" r:id="rId7">
            <anchor moveWithCells="1">
              <from>
                <xdr:col>1</xdr:col>
                <xdr:colOff>9525</xdr:colOff>
                <xdr:row>19</xdr:row>
                <xdr:rowOff>123825</xdr:rowOff>
              </from>
              <to>
                <xdr:col>17</xdr:col>
                <xdr:colOff>9525</xdr:colOff>
                <xdr:row>28</xdr:row>
                <xdr:rowOff>161925</xdr:rowOff>
              </to>
            </anchor>
          </controlPr>
        </control>
      </mc:Choice>
      <mc:Fallback>
        <control shapeId="3073" r:id="rId6" name="Lista"/>
      </mc:Fallback>
    </mc:AlternateContent>
    <mc:AlternateContent xmlns:mc="http://schemas.openxmlformats.org/markup-compatibility/2006">
      <mc:Choice Requires="x14">
        <control shapeId="3074" r:id="rId8" name="ActualizarLista">
          <controlPr defaultSize="0" autoLine="0" r:id="rId9">
            <anchor moveWithCells="1">
              <from>
                <xdr:col>17</xdr:col>
                <xdr:colOff>219075</xdr:colOff>
                <xdr:row>20</xdr:row>
                <xdr:rowOff>9525</xdr:rowOff>
              </from>
              <to>
                <xdr:col>19</xdr:col>
                <xdr:colOff>152400</xdr:colOff>
                <xdr:row>21</xdr:row>
                <xdr:rowOff>123825</xdr:rowOff>
              </to>
            </anchor>
          </controlPr>
        </control>
      </mc:Choice>
      <mc:Fallback>
        <control shapeId="3074" r:id="rId8" name="ActualizarLista"/>
      </mc:Fallback>
    </mc:AlternateContent>
    <mc:AlternateContent xmlns:mc="http://schemas.openxmlformats.org/markup-compatibility/2006">
      <mc:Choice Requires="x14">
        <control shapeId="3075" r:id="rId10" name="CopiarParaArduino">
          <controlPr defaultSize="0" autoLine="0" autoPict="0" r:id="rId11">
            <anchor moveWithCells="1">
              <from>
                <xdr:col>17</xdr:col>
                <xdr:colOff>228600</xdr:colOff>
                <xdr:row>2</xdr:row>
                <xdr:rowOff>161925</xdr:rowOff>
              </from>
              <to>
                <xdr:col>19</xdr:col>
                <xdr:colOff>838200</xdr:colOff>
                <xdr:row>4</xdr:row>
                <xdr:rowOff>76200</xdr:rowOff>
              </to>
            </anchor>
          </controlPr>
        </control>
      </mc:Choice>
      <mc:Fallback>
        <control shapeId="3075" r:id="rId10" name="CopiarParaArduino"/>
      </mc:Fallback>
    </mc:AlternateContent>
    <mc:AlternateContent xmlns:mc="http://schemas.openxmlformats.org/markup-compatibility/2006">
      <mc:Choice Requires="x14">
        <control shapeId="3076" r:id="rId12" name="GuardarEnArchivo">
          <controlPr defaultSize="0" autoLine="0" r:id="rId13">
            <anchor moveWithCells="1">
              <from>
                <xdr:col>17</xdr:col>
                <xdr:colOff>228600</xdr:colOff>
                <xdr:row>4</xdr:row>
                <xdr:rowOff>114300</xdr:rowOff>
              </from>
              <to>
                <xdr:col>19</xdr:col>
                <xdr:colOff>847725</xdr:colOff>
                <xdr:row>6</xdr:row>
                <xdr:rowOff>47625</xdr:rowOff>
              </to>
            </anchor>
          </controlPr>
        </control>
      </mc:Choice>
      <mc:Fallback>
        <control shapeId="3076" r:id="rId12" name="GuardarEnArchivo"/>
      </mc:Fallback>
    </mc:AlternateContent>
    <mc:AlternateContent xmlns:mc="http://schemas.openxmlformats.org/markup-compatibility/2006">
      <mc:Choice Requires="x14">
        <control shapeId="3077" r:id="rId14" name="GuardarProyecto">
          <controlPr defaultSize="0" autoLine="0" r:id="rId15">
            <anchor moveWithCells="1">
              <from>
                <xdr:col>17</xdr:col>
                <xdr:colOff>266700</xdr:colOff>
                <xdr:row>6</xdr:row>
                <xdr:rowOff>57150</xdr:rowOff>
              </from>
              <to>
                <xdr:col>19</xdr:col>
                <xdr:colOff>838200</xdr:colOff>
                <xdr:row>7</xdr:row>
                <xdr:rowOff>123825</xdr:rowOff>
              </to>
            </anchor>
          </controlPr>
        </control>
      </mc:Choice>
      <mc:Fallback>
        <control shapeId="3077" r:id="rId14" name="GuardarProyecto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245F3580-0326-45DB-9846-0DE499B2830A}">
            <xm:f>NOT(ISERROR(SEARCH(1,B4)))</xm:f>
            <xm:f>1</xm:f>
            <x14:dxf>
              <font>
                <strike val="0"/>
                <color theme="1" tint="0.14996795556505021"/>
              </font>
              <fill>
                <patternFill>
                  <bgColor theme="1" tint="0.14996795556505021"/>
                </patternFill>
              </fill>
            </x14:dxf>
          </x14:cfRule>
          <xm:sqref>B4:Q19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Presentación</vt:lpstr>
      <vt:lpstr>Generador Graficas 16x16 bin</vt:lpstr>
      <vt:lpstr>Decodificador Binario a Icono</vt:lpstr>
      <vt:lpstr>Lista de Iconos de Ejemplo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Miguel Gonzalez Arvidsson</dc:creator>
  <cp:lastModifiedBy>Jose Miguel Gonzalez Arvidsson</cp:lastModifiedBy>
  <dcterms:created xsi:type="dcterms:W3CDTF">2021-01-14T10:15:29Z</dcterms:created>
  <dcterms:modified xsi:type="dcterms:W3CDTF">2021-01-16T16:06:57Z</dcterms:modified>
</cp:coreProperties>
</file>